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articipants" sheetId="2" state="visible" r:id="rId2"/>
    <sheet xmlns:r="http://schemas.openxmlformats.org/officeDocument/2006/relationships" name="SUS" sheetId="3" state="visible" r:id="rId3"/>
    <sheet xmlns:r="http://schemas.openxmlformats.org/officeDocument/2006/relationships" name="TLX" sheetId="4" state="visible" r:id="rId4"/>
    <sheet xmlns:r="http://schemas.openxmlformats.org/officeDocument/2006/relationships" name="TOAST" sheetId="5" state="visible" r:id="rId5"/>
    <sheet xmlns:r="http://schemas.openxmlformats.org/officeDocument/2006/relationships" name="Sessions" sheetId="6" state="visible" r:id="rId6"/>
    <sheet xmlns:r="http://schemas.openxmlformats.org/officeDocument/2006/relationships" name="PerParticipant" sheetId="7" state="visible" r:id="rId7"/>
    <sheet xmlns:r="http://schemas.openxmlformats.org/officeDocument/2006/relationships" name="Analysis" sheetId="8" state="visible" r:id="rId8"/>
    <sheet xmlns:r="http://schemas.openxmlformats.org/officeDocument/2006/relationships" name="InterRate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User Study Replication Workbook (BIS-only variant)</t>
        </is>
      </c>
    </row>
    <row r="2">
      <c r="A2" t="inlineStr"/>
    </row>
    <row r="3">
      <c r="A3" t="inlineStr">
        <is>
          <t>All calculations are derived from per-participant questionnaire</t>
        </is>
      </c>
    </row>
    <row r="4">
      <c r="A4" t="inlineStr">
        <is>
          <t>responses (one row per participant, 85 rows total).</t>
        </is>
      </c>
    </row>
    <row r="5">
      <c r="A5" t="inlineStr"/>
    </row>
    <row r="6">
      <c r="A6" s="1" t="inlineStr">
        <is>
          <t>Sheets</t>
        </is>
      </c>
    </row>
    <row r="7">
      <c r="A7" t="inlineStr">
        <is>
          <t xml:space="preserve">  Participants    85 valid participants (40 expert, 45 non-expert)</t>
        </is>
      </c>
    </row>
    <row r="8">
      <c r="A8" t="inlineStr">
        <is>
          <t xml:space="preserve">  SUS             85 per-participant SUS item responses + score</t>
        </is>
      </c>
    </row>
    <row r="9">
      <c r="A9" t="inlineStr">
        <is>
          <t xml:space="preserve">  TLX             85 per-participant NASA-TLX subscale responses</t>
        </is>
      </c>
    </row>
    <row r="10">
      <c r="A10" t="inlineStr">
        <is>
          <t xml:space="preserve">  TOAST           85 per-participant TOAST item responses + factors</t>
        </is>
      </c>
    </row>
    <row r="11">
      <c r="A11" t="inlineStr">
        <is>
          <t xml:space="preserve">  Sessions        510 scenario sessions (outcomes + timings)</t>
        </is>
      </c>
    </row>
    <row r="12">
      <c r="A12" t="inlineStr">
        <is>
          <t xml:space="preserve">  PerParticipant  Per-participant aggregates (formulas)</t>
        </is>
      </c>
    </row>
    <row r="13">
      <c r="A13" t="inlineStr">
        <is>
          <t xml:space="preserve">  Analysis        Cronbach's alpha, between-group tests, behavioural</t>
        </is>
      </c>
    </row>
    <row r="14">
      <c r="A14" t="inlineStr">
        <is>
          <t xml:space="preserve">  InterRater      Cohen's kappa (evaluator_1 vs evaluator_2)</t>
        </is>
      </c>
    </row>
    <row r="15">
      <c r="A15" t="inlineStr"/>
    </row>
    <row r="16">
      <c r="A16" s="1" t="inlineStr">
        <is>
          <t>Notes</t>
        </is>
      </c>
    </row>
    <row r="17">
      <c r="A17" t="inlineStr">
        <is>
          <t xml:space="preserve">  - SUS items: odd 1,3,5,7,9 transformed as x-1; even 2,4,6,8,10 as 5-x.</t>
        </is>
      </c>
    </row>
    <row r="18">
      <c r="A18" t="inlineStr">
        <is>
          <t xml:space="preserve">  - NASA-TLX Raw score = mean of all 6 subscales (Physical Demand = 0).</t>
        </is>
      </c>
    </row>
    <row r="19">
      <c r="A19" t="inlineStr">
        <is>
          <t xml:space="preserve">  - TOAST: Understanding = mean(items 1, 3, 4, 8); Performance =</t>
        </is>
      </c>
    </row>
    <row r="20">
      <c r="A20" t="inlineStr">
        <is>
          <t xml:space="preserve">    mean(items 2, 5, 6, 7, 9). Overall = mean of all 9 items.</t>
        </is>
      </c>
    </row>
    <row r="21">
      <c r="A21" t="inlineStr">
        <is>
          <t xml:space="preserve">  - Mann-Whitney U via combined-sample rank sums; p-value uses normal</t>
        </is>
      </c>
    </row>
    <row r="22">
      <c r="A22" t="inlineStr">
        <is>
          <t xml:space="preserve">    approximation with continuity correction.</t>
        </is>
      </c>
    </row>
    <row r="23">
      <c r="A23" t="inlineStr">
        <is>
          <t xml:space="preserve">  - Cohen's kappa computed on the full set of 510 sessions.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  <col width="19" customWidth="1" min="8" max="8"/>
    <col width="14" customWidth="1" min="9" max="9"/>
  </cols>
  <sheetData>
    <row r="1">
      <c r="A1" s="2" t="inlineStr">
        <is>
          <t>participant_id</t>
        </is>
      </c>
      <c r="B1" s="2" t="inlineStr">
        <is>
          <t>user_type</t>
        </is>
      </c>
      <c r="C1" s="2" t="inlineStr">
        <is>
          <t>lang</t>
        </is>
      </c>
      <c r="D1" s="2" t="inlineStr">
        <is>
          <t>age</t>
        </is>
      </c>
      <c r="E1" s="2" t="inlineStr">
        <is>
          <t>gender</t>
        </is>
      </c>
      <c r="F1" s="2" t="inlineStr">
        <is>
          <t>education</t>
        </is>
      </c>
      <c r="G1" s="2" t="inlineStr">
        <is>
          <t>computer_skills</t>
        </is>
      </c>
      <c r="H1" s="2" t="inlineStr">
        <is>
          <t>ifttt_familiarity</t>
        </is>
      </c>
      <c r="I1" s="2" t="inlineStr">
        <is>
          <t>quality_flag</t>
        </is>
      </c>
    </row>
    <row r="2">
      <c r="A2" t="inlineStr">
        <is>
          <t>user_0001</t>
        </is>
      </c>
      <c r="B2" t="inlineStr">
        <is>
          <t>non_expert</t>
        </is>
      </c>
      <c r="C2" t="inlineStr">
        <is>
          <t>it</t>
        </is>
      </c>
      <c r="D2" t="n">
        <v>18</v>
      </c>
      <c r="E2" t="inlineStr">
        <is>
          <t>F</t>
        </is>
      </c>
      <c r="F2" t="inlineStr">
        <is>
          <t>Scuola superiore</t>
        </is>
      </c>
    </row>
    <row r="3">
      <c r="A3" t="inlineStr">
        <is>
          <t>user_0002</t>
        </is>
      </c>
      <c r="B3" t="inlineStr">
        <is>
          <t>non_expert</t>
        </is>
      </c>
      <c r="C3" t="inlineStr">
        <is>
          <t>it</t>
        </is>
      </c>
      <c r="D3" t="n">
        <v>18</v>
      </c>
      <c r="E3" t="inlineStr">
        <is>
          <t>F</t>
        </is>
      </c>
      <c r="F3" t="inlineStr">
        <is>
          <t>Scuola superiore</t>
        </is>
      </c>
    </row>
    <row r="4">
      <c r="A4" t="inlineStr">
        <is>
          <t>user_0003</t>
        </is>
      </c>
      <c r="B4" t="inlineStr">
        <is>
          <t>non_expert</t>
        </is>
      </c>
      <c r="C4" t="inlineStr">
        <is>
          <t>it</t>
        </is>
      </c>
      <c r="D4" t="n">
        <v>18</v>
      </c>
      <c r="E4" t="inlineStr">
        <is>
          <t>M</t>
        </is>
      </c>
      <c r="F4" t="inlineStr">
        <is>
          <t>Scuola superiore</t>
        </is>
      </c>
    </row>
    <row r="5">
      <c r="A5" t="inlineStr">
        <is>
          <t>user_0004</t>
        </is>
      </c>
      <c r="B5" t="inlineStr">
        <is>
          <t>non_expert</t>
        </is>
      </c>
      <c r="C5" t="inlineStr">
        <is>
          <t>it</t>
        </is>
      </c>
      <c r="D5" t="n">
        <v>18</v>
      </c>
      <c r="E5" t="inlineStr">
        <is>
          <t>M</t>
        </is>
      </c>
      <c r="F5" t="inlineStr">
        <is>
          <t>Scuola superiore</t>
        </is>
      </c>
    </row>
    <row r="6">
      <c r="A6" t="inlineStr">
        <is>
          <t>user_0005</t>
        </is>
      </c>
      <c r="B6" t="inlineStr">
        <is>
          <t>non_expert</t>
        </is>
      </c>
      <c r="C6" t="inlineStr">
        <is>
          <t>it</t>
        </is>
      </c>
      <c r="D6" t="n">
        <v>18</v>
      </c>
      <c r="E6" t="inlineStr">
        <is>
          <t>M</t>
        </is>
      </c>
      <c r="F6" t="inlineStr">
        <is>
          <t>Scuola superiore</t>
        </is>
      </c>
    </row>
    <row r="7">
      <c r="A7" t="inlineStr">
        <is>
          <t>user_0006</t>
        </is>
      </c>
      <c r="B7" t="inlineStr">
        <is>
          <t>non_expert</t>
        </is>
      </c>
      <c r="C7" t="inlineStr">
        <is>
          <t>it</t>
        </is>
      </c>
      <c r="D7" t="n">
        <v>18</v>
      </c>
      <c r="E7" t="inlineStr">
        <is>
          <t>M</t>
        </is>
      </c>
      <c r="F7" t="inlineStr">
        <is>
          <t>Scuola superiore</t>
        </is>
      </c>
    </row>
    <row r="8">
      <c r="A8" t="inlineStr">
        <is>
          <t>user_0007</t>
        </is>
      </c>
      <c r="B8" t="inlineStr">
        <is>
          <t>non_expert</t>
        </is>
      </c>
      <c r="C8" t="inlineStr">
        <is>
          <t>it</t>
        </is>
      </c>
      <c r="D8" t="n">
        <v>18</v>
      </c>
      <c r="E8" t="inlineStr">
        <is>
          <t>F</t>
        </is>
      </c>
      <c r="F8" t="inlineStr">
        <is>
          <t>Scuola superiore</t>
        </is>
      </c>
    </row>
    <row r="9">
      <c r="A9" t="inlineStr">
        <is>
          <t>user_0008</t>
        </is>
      </c>
      <c r="B9" t="inlineStr">
        <is>
          <t>non_expert</t>
        </is>
      </c>
      <c r="C9" t="inlineStr">
        <is>
          <t>it</t>
        </is>
      </c>
      <c r="D9" t="n">
        <v>18</v>
      </c>
      <c r="E9" t="inlineStr">
        <is>
          <t>M</t>
        </is>
      </c>
      <c r="F9" t="inlineStr">
        <is>
          <t>Scuola superiore</t>
        </is>
      </c>
    </row>
    <row r="10">
      <c r="A10" t="inlineStr">
        <is>
          <t>user_0009</t>
        </is>
      </c>
      <c r="B10" t="inlineStr">
        <is>
          <t>non_expert</t>
        </is>
      </c>
      <c r="C10" t="inlineStr">
        <is>
          <t>it</t>
        </is>
      </c>
      <c r="D10" t="n">
        <v>18</v>
      </c>
      <c r="E10" t="inlineStr">
        <is>
          <t>M</t>
        </is>
      </c>
      <c r="F10" t="inlineStr">
        <is>
          <t>Scuola superiore</t>
        </is>
      </c>
      <c r="I10" t="inlineStr">
        <is>
          <t>outlier_contradictory</t>
        </is>
      </c>
    </row>
    <row r="11">
      <c r="A11" t="inlineStr">
        <is>
          <t>user_0010</t>
        </is>
      </c>
      <c r="B11" t="inlineStr">
        <is>
          <t>non_expert</t>
        </is>
      </c>
      <c r="C11" t="inlineStr">
        <is>
          <t>it</t>
        </is>
      </c>
      <c r="D11" t="n">
        <v>18</v>
      </c>
      <c r="E11" t="inlineStr">
        <is>
          <t>M</t>
        </is>
      </c>
      <c r="F11" t="inlineStr">
        <is>
          <t>Scuola superiore</t>
        </is>
      </c>
    </row>
    <row r="12">
      <c r="A12" t="inlineStr">
        <is>
          <t>user_0011</t>
        </is>
      </c>
      <c r="B12" t="inlineStr">
        <is>
          <t>non_expert</t>
        </is>
      </c>
      <c r="C12" t="inlineStr">
        <is>
          <t>it</t>
        </is>
      </c>
      <c r="D12" t="n">
        <v>18</v>
      </c>
      <c r="E12" t="inlineStr">
        <is>
          <t>M</t>
        </is>
      </c>
      <c r="F12" t="inlineStr">
        <is>
          <t>Scuola superiore</t>
        </is>
      </c>
    </row>
    <row r="13">
      <c r="A13" t="inlineStr">
        <is>
          <t>user_0013</t>
        </is>
      </c>
      <c r="B13" t="inlineStr">
        <is>
          <t>non_expert</t>
        </is>
      </c>
      <c r="C13" t="inlineStr">
        <is>
          <t>it</t>
        </is>
      </c>
      <c r="D13" t="n">
        <v>18</v>
      </c>
      <c r="E13" t="inlineStr">
        <is>
          <t>M</t>
        </is>
      </c>
      <c r="F13" t="inlineStr">
        <is>
          <t>Scuola superiore</t>
        </is>
      </c>
    </row>
    <row r="14">
      <c r="A14" t="inlineStr">
        <is>
          <t>user_0015</t>
        </is>
      </c>
      <c r="B14" t="inlineStr">
        <is>
          <t>non_expert</t>
        </is>
      </c>
      <c r="C14" t="inlineStr">
        <is>
          <t>it</t>
        </is>
      </c>
      <c r="D14" t="n">
        <v>18</v>
      </c>
      <c r="E14" t="inlineStr">
        <is>
          <t>F</t>
        </is>
      </c>
      <c r="F14" t="inlineStr">
        <is>
          <t>Scuola superiore</t>
        </is>
      </c>
      <c r="I14" t="inlineStr">
        <is>
          <t>low_quality_repeat</t>
        </is>
      </c>
    </row>
    <row r="15">
      <c r="A15" t="inlineStr">
        <is>
          <t>user_0016</t>
        </is>
      </c>
      <c r="B15" t="inlineStr">
        <is>
          <t>non_expert</t>
        </is>
      </c>
      <c r="C15" t="inlineStr">
        <is>
          <t>it</t>
        </is>
      </c>
      <c r="D15" t="n">
        <v>18</v>
      </c>
      <c r="E15" t="inlineStr">
        <is>
          <t>M</t>
        </is>
      </c>
      <c r="F15" t="inlineStr">
        <is>
          <t>Scuola superiore</t>
        </is>
      </c>
    </row>
    <row r="16">
      <c r="A16" t="inlineStr">
        <is>
          <t>user_0017</t>
        </is>
      </c>
      <c r="B16" t="inlineStr">
        <is>
          <t>non_expert</t>
        </is>
      </c>
      <c r="C16" t="inlineStr">
        <is>
          <t>it</t>
        </is>
      </c>
      <c r="D16" t="n">
        <v>18</v>
      </c>
      <c r="E16" t="inlineStr">
        <is>
          <t>M</t>
        </is>
      </c>
      <c r="F16" t="inlineStr">
        <is>
          <t>Scuola superiore</t>
        </is>
      </c>
    </row>
    <row r="17">
      <c r="A17" t="inlineStr">
        <is>
          <t>user_0018</t>
        </is>
      </c>
      <c r="B17" t="inlineStr">
        <is>
          <t>non_expert</t>
        </is>
      </c>
      <c r="C17" t="inlineStr">
        <is>
          <t>it</t>
        </is>
      </c>
      <c r="D17" t="n">
        <v>18</v>
      </c>
      <c r="E17" t="inlineStr">
        <is>
          <t>M</t>
        </is>
      </c>
      <c r="F17" t="inlineStr">
        <is>
          <t>Scuola superiore</t>
        </is>
      </c>
    </row>
    <row r="18">
      <c r="A18" t="inlineStr">
        <is>
          <t>user_0019</t>
        </is>
      </c>
      <c r="B18" t="inlineStr">
        <is>
          <t>non_expert</t>
        </is>
      </c>
      <c r="C18" t="inlineStr">
        <is>
          <t>it</t>
        </is>
      </c>
      <c r="D18" t="n">
        <v>18</v>
      </c>
      <c r="E18" t="inlineStr">
        <is>
          <t>F</t>
        </is>
      </c>
      <c r="F18" t="inlineStr">
        <is>
          <t>Scuola superiore</t>
        </is>
      </c>
    </row>
    <row r="19">
      <c r="A19" t="inlineStr">
        <is>
          <t>user_0020</t>
        </is>
      </c>
      <c r="B19" t="inlineStr">
        <is>
          <t>non_expert</t>
        </is>
      </c>
      <c r="C19" t="inlineStr">
        <is>
          <t>it</t>
        </is>
      </c>
      <c r="D19" t="n">
        <v>18</v>
      </c>
      <c r="E19" t="inlineStr">
        <is>
          <t>M</t>
        </is>
      </c>
      <c r="F19" t="inlineStr">
        <is>
          <t>Scuola superiore</t>
        </is>
      </c>
    </row>
    <row r="20">
      <c r="A20" t="inlineStr">
        <is>
          <t>user_0021</t>
        </is>
      </c>
      <c r="B20" t="inlineStr">
        <is>
          <t>non_expert</t>
        </is>
      </c>
      <c r="C20" t="inlineStr">
        <is>
          <t>it</t>
        </is>
      </c>
      <c r="D20" t="n">
        <v>18</v>
      </c>
      <c r="E20" t="inlineStr">
        <is>
          <t>Maschio</t>
        </is>
      </c>
      <c r="F20" t="inlineStr">
        <is>
          <t>Scuola superiore</t>
        </is>
      </c>
      <c r="G20" t="n">
        <v>3</v>
      </c>
      <c r="H20" t="n">
        <v>1</v>
      </c>
    </row>
    <row r="21">
      <c r="A21" t="inlineStr">
        <is>
          <t>user_0022</t>
        </is>
      </c>
      <c r="B21" t="inlineStr">
        <is>
          <t>non_expert</t>
        </is>
      </c>
      <c r="C21" t="inlineStr">
        <is>
          <t>it</t>
        </is>
      </c>
      <c r="D21" t="n">
        <v>18</v>
      </c>
      <c r="E21" t="inlineStr">
        <is>
          <t>Maschio</t>
        </is>
      </c>
      <c r="F21" t="inlineStr">
        <is>
          <t>Scuola superiore</t>
        </is>
      </c>
      <c r="G21" t="n">
        <v>2</v>
      </c>
      <c r="H21" t="n">
        <v>1</v>
      </c>
    </row>
    <row r="22">
      <c r="A22" t="inlineStr">
        <is>
          <t>user_0023</t>
        </is>
      </c>
      <c r="B22" t="inlineStr">
        <is>
          <t>non_expert</t>
        </is>
      </c>
      <c r="C22" t="inlineStr">
        <is>
          <t>it</t>
        </is>
      </c>
      <c r="D22" t="n">
        <v>18</v>
      </c>
      <c r="E22" t="inlineStr">
        <is>
          <t>Maschio</t>
        </is>
      </c>
      <c r="F22" t="inlineStr">
        <is>
          <t>Scuola superiore</t>
        </is>
      </c>
      <c r="G22" t="n">
        <v>2</v>
      </c>
      <c r="H22" t="n">
        <v>1</v>
      </c>
    </row>
    <row r="23">
      <c r="A23" t="inlineStr">
        <is>
          <t>user_0024</t>
        </is>
      </c>
      <c r="B23" t="inlineStr">
        <is>
          <t>non_expert</t>
        </is>
      </c>
      <c r="C23" t="inlineStr">
        <is>
          <t>it</t>
        </is>
      </c>
      <c r="D23" t="n">
        <v>18</v>
      </c>
      <c r="E23" t="inlineStr">
        <is>
          <t>Maschio</t>
        </is>
      </c>
      <c r="F23" t="inlineStr">
        <is>
          <t>Scuola superiore</t>
        </is>
      </c>
      <c r="G23" t="n">
        <v>2</v>
      </c>
      <c r="H23" t="n">
        <v>1</v>
      </c>
    </row>
    <row r="24">
      <c r="A24" t="inlineStr">
        <is>
          <t>user_0026</t>
        </is>
      </c>
      <c r="B24" t="inlineStr">
        <is>
          <t>non_expert</t>
        </is>
      </c>
      <c r="C24" t="inlineStr">
        <is>
          <t>it</t>
        </is>
      </c>
      <c r="D24" t="n">
        <v>18</v>
      </c>
      <c r="E24" t="inlineStr">
        <is>
          <t>Maschio</t>
        </is>
      </c>
      <c r="F24" t="inlineStr">
        <is>
          <t>Scuola superiore</t>
        </is>
      </c>
      <c r="G24" t="n">
        <v>3</v>
      </c>
      <c r="H24" t="n">
        <v>1</v>
      </c>
      <c r="I24" t="inlineStr">
        <is>
          <t>outlier_speed</t>
        </is>
      </c>
    </row>
    <row r="25">
      <c r="A25" t="inlineStr">
        <is>
          <t>user_0027</t>
        </is>
      </c>
      <c r="B25" t="inlineStr">
        <is>
          <t>non_expert</t>
        </is>
      </c>
      <c r="C25" t="inlineStr">
        <is>
          <t>it</t>
        </is>
      </c>
      <c r="D25" t="n">
        <v>18</v>
      </c>
      <c r="E25" t="inlineStr">
        <is>
          <t>Maschio</t>
        </is>
      </c>
      <c r="F25" t="inlineStr">
        <is>
          <t>Scuola superiore</t>
        </is>
      </c>
      <c r="G25" t="n">
        <v>2</v>
      </c>
      <c r="H25" t="n">
        <v>1</v>
      </c>
    </row>
    <row r="26">
      <c r="A26" t="inlineStr">
        <is>
          <t>user_0028</t>
        </is>
      </c>
      <c r="B26" t="inlineStr">
        <is>
          <t>non_expert</t>
        </is>
      </c>
      <c r="C26" t="inlineStr">
        <is>
          <t>it</t>
        </is>
      </c>
      <c r="D26" t="n">
        <v>18</v>
      </c>
      <c r="E26" t="inlineStr">
        <is>
          <t>Maschio</t>
        </is>
      </c>
      <c r="F26" t="inlineStr">
        <is>
          <t>Scuola superiore</t>
        </is>
      </c>
      <c r="G26" t="n">
        <v>2</v>
      </c>
      <c r="H26" t="n">
        <v>1</v>
      </c>
    </row>
    <row r="27">
      <c r="A27" t="inlineStr">
        <is>
          <t>user_0029</t>
        </is>
      </c>
      <c r="B27" t="inlineStr">
        <is>
          <t>non_expert</t>
        </is>
      </c>
      <c r="C27" t="inlineStr">
        <is>
          <t>it</t>
        </is>
      </c>
      <c r="D27" t="n">
        <v>18</v>
      </c>
      <c r="E27" t="inlineStr">
        <is>
          <t>Maschio</t>
        </is>
      </c>
      <c r="F27" t="inlineStr">
        <is>
          <t>Scuola superiore</t>
        </is>
      </c>
      <c r="G27" t="n">
        <v>2</v>
      </c>
      <c r="H27" t="n">
        <v>1</v>
      </c>
    </row>
    <row r="28">
      <c r="A28" t="inlineStr">
        <is>
          <t>user_0031</t>
        </is>
      </c>
      <c r="B28" t="inlineStr">
        <is>
          <t>non_expert</t>
        </is>
      </c>
      <c r="C28" t="inlineStr">
        <is>
          <t>it</t>
        </is>
      </c>
      <c r="D28" t="n">
        <v>18</v>
      </c>
      <c r="E28" t="inlineStr">
        <is>
          <t>Maschio</t>
        </is>
      </c>
      <c r="F28" t="inlineStr">
        <is>
          <t>Scuola superiore</t>
        </is>
      </c>
      <c r="G28" t="n">
        <v>3</v>
      </c>
      <c r="H28" t="n">
        <v>1</v>
      </c>
    </row>
    <row r="29">
      <c r="A29" t="inlineStr">
        <is>
          <t>user_0032</t>
        </is>
      </c>
      <c r="B29" t="inlineStr">
        <is>
          <t>non_expert</t>
        </is>
      </c>
      <c r="C29" t="inlineStr">
        <is>
          <t>it</t>
        </is>
      </c>
      <c r="D29" t="n">
        <v>18</v>
      </c>
      <c r="E29" t="inlineStr">
        <is>
          <t>Maschio</t>
        </is>
      </c>
      <c r="F29" t="inlineStr">
        <is>
          <t>Scuola superiore</t>
        </is>
      </c>
      <c r="G29" t="n">
        <v>3</v>
      </c>
      <c r="H29" t="n">
        <v>1</v>
      </c>
    </row>
    <row r="30">
      <c r="A30" t="inlineStr">
        <is>
          <t>user_0033</t>
        </is>
      </c>
      <c r="B30" t="inlineStr">
        <is>
          <t>non_expert</t>
        </is>
      </c>
      <c r="C30" t="inlineStr">
        <is>
          <t>it</t>
        </is>
      </c>
      <c r="D30" t="n">
        <v>18</v>
      </c>
      <c r="E30" t="inlineStr">
        <is>
          <t>Maschio</t>
        </is>
      </c>
      <c r="F30" t="inlineStr">
        <is>
          <t>Scuola superiore</t>
        </is>
      </c>
      <c r="G30" t="n">
        <v>2</v>
      </c>
      <c r="H30" t="n">
        <v>1</v>
      </c>
    </row>
    <row r="31">
      <c r="A31" t="inlineStr">
        <is>
          <t>user_0034</t>
        </is>
      </c>
      <c r="B31" t="inlineStr">
        <is>
          <t>non_expert</t>
        </is>
      </c>
      <c r="C31" t="inlineStr">
        <is>
          <t>it</t>
        </is>
      </c>
      <c r="D31" t="n">
        <v>18</v>
      </c>
      <c r="E31" t="inlineStr">
        <is>
          <t>Maschio</t>
        </is>
      </c>
      <c r="F31" t="inlineStr">
        <is>
          <t>Scuola superiore</t>
        </is>
      </c>
      <c r="G31" t="n">
        <v>3</v>
      </c>
      <c r="H31" t="n">
        <v>1</v>
      </c>
    </row>
    <row r="32">
      <c r="A32" t="inlineStr">
        <is>
          <t>user_0037</t>
        </is>
      </c>
      <c r="B32" t="inlineStr">
        <is>
          <t>non_expert</t>
        </is>
      </c>
      <c r="C32" t="inlineStr">
        <is>
          <t>it</t>
        </is>
      </c>
      <c r="D32" t="n">
        <v>18</v>
      </c>
      <c r="E32" t="inlineStr">
        <is>
          <t>Maschio</t>
        </is>
      </c>
      <c r="F32" t="inlineStr">
        <is>
          <t>Scuola superiore</t>
        </is>
      </c>
      <c r="G32" t="n">
        <v>1</v>
      </c>
      <c r="H32" t="n">
        <v>1</v>
      </c>
    </row>
    <row r="33">
      <c r="A33" t="inlineStr">
        <is>
          <t>user_0039</t>
        </is>
      </c>
      <c r="B33" t="inlineStr">
        <is>
          <t>non_expert</t>
        </is>
      </c>
      <c r="C33" t="inlineStr">
        <is>
          <t>it</t>
        </is>
      </c>
      <c r="D33" t="n">
        <v>18</v>
      </c>
      <c r="E33" t="inlineStr">
        <is>
          <t>Maschio</t>
        </is>
      </c>
      <c r="F33" t="inlineStr">
        <is>
          <t>Scuola superiore</t>
        </is>
      </c>
      <c r="G33" t="n">
        <v>1</v>
      </c>
      <c r="H33" t="n">
        <v>1</v>
      </c>
    </row>
    <row r="34">
      <c r="A34" t="inlineStr">
        <is>
          <t>user_0042</t>
        </is>
      </c>
      <c r="B34" t="inlineStr">
        <is>
          <t>non_expert</t>
        </is>
      </c>
      <c r="C34" t="inlineStr">
        <is>
          <t>it</t>
        </is>
      </c>
      <c r="D34" t="n">
        <v>18</v>
      </c>
      <c r="E34" t="inlineStr">
        <is>
          <t>Maschio</t>
        </is>
      </c>
      <c r="F34" t="inlineStr">
        <is>
          <t>Scuola superiore</t>
        </is>
      </c>
      <c r="G34" t="n">
        <v>1</v>
      </c>
      <c r="H34" t="n">
        <v>1</v>
      </c>
    </row>
    <row r="35">
      <c r="A35" t="inlineStr">
        <is>
          <t>user_0043</t>
        </is>
      </c>
      <c r="B35" t="inlineStr">
        <is>
          <t>non_expert</t>
        </is>
      </c>
      <c r="C35" t="inlineStr">
        <is>
          <t>it</t>
        </is>
      </c>
      <c r="D35" t="n">
        <v>18</v>
      </c>
      <c r="E35" t="inlineStr">
        <is>
          <t>Maschio</t>
        </is>
      </c>
      <c r="F35" t="inlineStr">
        <is>
          <t>Scuola superiore</t>
        </is>
      </c>
      <c r="G35" t="n">
        <v>1</v>
      </c>
      <c r="H35" t="n">
        <v>1</v>
      </c>
    </row>
    <row r="36">
      <c r="A36" t="inlineStr">
        <is>
          <t>user_0045</t>
        </is>
      </c>
      <c r="B36" t="inlineStr">
        <is>
          <t>non_expert</t>
        </is>
      </c>
      <c r="C36" t="inlineStr">
        <is>
          <t>it</t>
        </is>
      </c>
      <c r="D36" t="n">
        <v>18</v>
      </c>
      <c r="E36" t="inlineStr">
        <is>
          <t>Maschio</t>
        </is>
      </c>
      <c r="F36" t="inlineStr">
        <is>
          <t>Scuola superiore</t>
        </is>
      </c>
      <c r="G36" t="n">
        <v>1</v>
      </c>
      <c r="H36" t="n">
        <v>1</v>
      </c>
    </row>
    <row r="37">
      <c r="A37" t="inlineStr">
        <is>
          <t>user_0046</t>
        </is>
      </c>
      <c r="B37" t="inlineStr">
        <is>
          <t>non_expert</t>
        </is>
      </c>
      <c r="C37" t="inlineStr">
        <is>
          <t>it</t>
        </is>
      </c>
      <c r="D37" t="n">
        <v>18</v>
      </c>
      <c r="E37" t="inlineStr">
        <is>
          <t>Maschio</t>
        </is>
      </c>
      <c r="F37" t="inlineStr">
        <is>
          <t>Scuola superiore</t>
        </is>
      </c>
      <c r="G37" t="n">
        <v>1</v>
      </c>
      <c r="H37" t="n">
        <v>1</v>
      </c>
    </row>
    <row r="38">
      <c r="A38" t="inlineStr">
        <is>
          <t>user_0047</t>
        </is>
      </c>
      <c r="B38" t="inlineStr">
        <is>
          <t>non_expert</t>
        </is>
      </c>
      <c r="C38" t="inlineStr">
        <is>
          <t>it</t>
        </is>
      </c>
      <c r="D38" t="n">
        <v>18</v>
      </c>
      <c r="E38" t="inlineStr">
        <is>
          <t>Maschio</t>
        </is>
      </c>
      <c r="F38" t="inlineStr">
        <is>
          <t>Scuola superiore</t>
        </is>
      </c>
      <c r="G38" t="n">
        <v>1</v>
      </c>
      <c r="H38" t="n">
        <v>1</v>
      </c>
    </row>
    <row r="39">
      <c r="A39" t="inlineStr">
        <is>
          <t>user_0048</t>
        </is>
      </c>
      <c r="B39" t="inlineStr">
        <is>
          <t>non_expert</t>
        </is>
      </c>
      <c r="C39" t="inlineStr">
        <is>
          <t>it</t>
        </is>
      </c>
      <c r="D39" t="n">
        <v>18</v>
      </c>
      <c r="E39" t="inlineStr">
        <is>
          <t>Femmina</t>
        </is>
      </c>
      <c r="F39" t="inlineStr">
        <is>
          <t>Scuola superiore</t>
        </is>
      </c>
      <c r="G39" t="n">
        <v>1</v>
      </c>
      <c r="H39" t="n">
        <v>1</v>
      </c>
    </row>
    <row r="40">
      <c r="A40" t="inlineStr">
        <is>
          <t>user_0049</t>
        </is>
      </c>
      <c r="B40" t="inlineStr">
        <is>
          <t>non_expert</t>
        </is>
      </c>
      <c r="C40" t="inlineStr">
        <is>
          <t>it</t>
        </is>
      </c>
      <c r="D40" t="n">
        <v>18</v>
      </c>
      <c r="E40" t="inlineStr">
        <is>
          <t>Maschio</t>
        </is>
      </c>
      <c r="F40" t="inlineStr">
        <is>
          <t>Scuola superiore</t>
        </is>
      </c>
      <c r="G40" t="n">
        <v>1</v>
      </c>
      <c r="H40" t="n">
        <v>1</v>
      </c>
    </row>
    <row r="41">
      <c r="A41" t="inlineStr">
        <is>
          <t>user_0050</t>
        </is>
      </c>
      <c r="B41" t="inlineStr">
        <is>
          <t>non_expert</t>
        </is>
      </c>
      <c r="C41" t="inlineStr">
        <is>
          <t>it</t>
        </is>
      </c>
      <c r="D41" t="n">
        <v>18</v>
      </c>
      <c r="E41" t="inlineStr">
        <is>
          <t>Maschio</t>
        </is>
      </c>
      <c r="F41" t="inlineStr">
        <is>
          <t>Scuola superiore</t>
        </is>
      </c>
      <c r="G41" t="n">
        <v>1</v>
      </c>
      <c r="H41" t="n">
        <v>1</v>
      </c>
    </row>
    <row r="42">
      <c r="A42" t="inlineStr">
        <is>
          <t>user_0051</t>
        </is>
      </c>
      <c r="B42" t="inlineStr">
        <is>
          <t>non_expert</t>
        </is>
      </c>
      <c r="C42" t="inlineStr">
        <is>
          <t>it</t>
        </is>
      </c>
      <c r="D42" t="n">
        <v>18</v>
      </c>
      <c r="E42" t="inlineStr">
        <is>
          <t>Maschio</t>
        </is>
      </c>
      <c r="F42" t="inlineStr">
        <is>
          <t>Scuola superiore</t>
        </is>
      </c>
      <c r="G42" t="n">
        <v>1</v>
      </c>
      <c r="H42" t="n">
        <v>1</v>
      </c>
    </row>
    <row r="43">
      <c r="A43" t="inlineStr">
        <is>
          <t>user_0055</t>
        </is>
      </c>
      <c r="B43" t="inlineStr">
        <is>
          <t>non_expert</t>
        </is>
      </c>
      <c r="C43" t="inlineStr">
        <is>
          <t>it</t>
        </is>
      </c>
      <c r="D43" t="n">
        <v>18</v>
      </c>
      <c r="E43" t="inlineStr">
        <is>
          <t>Maschio</t>
        </is>
      </c>
      <c r="F43" t="inlineStr">
        <is>
          <t>Scuola superiore</t>
        </is>
      </c>
      <c r="G43" t="n">
        <v>1</v>
      </c>
      <c r="H43" t="n">
        <v>1</v>
      </c>
      <c r="I43" t="inlineStr">
        <is>
          <t>outlier_tlx_max</t>
        </is>
      </c>
    </row>
    <row r="44">
      <c r="A44" t="inlineStr">
        <is>
          <t>user_0061</t>
        </is>
      </c>
      <c r="B44" t="inlineStr">
        <is>
          <t>non_expert</t>
        </is>
      </c>
      <c r="C44" t="inlineStr">
        <is>
          <t>it</t>
        </is>
      </c>
      <c r="D44" t="n">
        <v>18</v>
      </c>
      <c r="E44" t="inlineStr">
        <is>
          <t>Maschio</t>
        </is>
      </c>
      <c r="F44" t="inlineStr">
        <is>
          <t>Scuola superiore</t>
        </is>
      </c>
      <c r="G44" t="n">
        <v>1</v>
      </c>
      <c r="H44" t="n">
        <v>1</v>
      </c>
      <c r="I44" t="inlineStr">
        <is>
          <t>low_quality_all_same</t>
        </is>
      </c>
    </row>
    <row r="45">
      <c r="A45" t="inlineStr">
        <is>
          <t>user_0065</t>
        </is>
      </c>
      <c r="B45" t="inlineStr">
        <is>
          <t>non_expert</t>
        </is>
      </c>
      <c r="C45" t="inlineStr">
        <is>
          <t>it</t>
        </is>
      </c>
      <c r="D45" t="n">
        <v>35</v>
      </c>
      <c r="E45" t="inlineStr">
        <is>
          <t>Preferisco non dire</t>
        </is>
      </c>
      <c r="F45" t="inlineStr">
        <is>
          <t>Laurea triennale</t>
        </is>
      </c>
      <c r="G45" t="n">
        <v>5</v>
      </c>
      <c r="H45" t="n">
        <v>1</v>
      </c>
      <c r="I45" t="inlineStr">
        <is>
          <t>outlier_contradictory</t>
        </is>
      </c>
    </row>
    <row r="46">
      <c r="A46" t="inlineStr">
        <is>
          <t>user_0067</t>
        </is>
      </c>
      <c r="B46" t="inlineStr">
        <is>
          <t>non_expert</t>
        </is>
      </c>
      <c r="C46" t="inlineStr">
        <is>
          <t>it</t>
        </is>
      </c>
      <c r="D46" t="n">
        <v>18</v>
      </c>
      <c r="E46" t="inlineStr">
        <is>
          <t>Maschio</t>
        </is>
      </c>
      <c r="F46" t="inlineStr">
        <is>
          <t>Scuola superiore</t>
        </is>
      </c>
      <c r="G46" t="n">
        <v>1</v>
      </c>
      <c r="H46" t="n">
        <v>1</v>
      </c>
      <c r="I46" t="inlineStr">
        <is>
          <t>outlier_tlx_sus_extreme</t>
        </is>
      </c>
    </row>
    <row r="47">
      <c r="A47" t="inlineStr">
        <is>
          <t>user_0101</t>
        </is>
      </c>
      <c r="B47" t="inlineStr">
        <is>
          <t>expert</t>
        </is>
      </c>
      <c r="C47" t="inlineStr">
        <is>
          <t>it</t>
        </is>
      </c>
      <c r="D47" t="n">
        <v>23</v>
      </c>
      <c r="E47" t="inlineStr">
        <is>
          <t>Maschio</t>
        </is>
      </c>
      <c r="F47" t="inlineStr">
        <is>
          <t>Laurea triennale</t>
        </is>
      </c>
      <c r="G47" t="n">
        <v>5</v>
      </c>
      <c r="H47" t="n">
        <v>1</v>
      </c>
    </row>
    <row r="48">
      <c r="A48" t="inlineStr">
        <is>
          <t>user_0102</t>
        </is>
      </c>
      <c r="B48" t="inlineStr">
        <is>
          <t>expert</t>
        </is>
      </c>
      <c r="C48" t="inlineStr">
        <is>
          <t>it</t>
        </is>
      </c>
      <c r="D48" t="n">
        <v>24</v>
      </c>
      <c r="E48" t="inlineStr">
        <is>
          <t>Maschio</t>
        </is>
      </c>
      <c r="F48" t="inlineStr">
        <is>
          <t>Laurea triennale</t>
        </is>
      </c>
      <c r="G48" t="n">
        <v>4</v>
      </c>
      <c r="H48" t="n">
        <v>1</v>
      </c>
    </row>
    <row r="49">
      <c r="A49" t="inlineStr">
        <is>
          <t>user_0103</t>
        </is>
      </c>
      <c r="B49" t="inlineStr">
        <is>
          <t>expert</t>
        </is>
      </c>
      <c r="C49" t="inlineStr">
        <is>
          <t>it</t>
        </is>
      </c>
      <c r="D49" t="n">
        <v>24</v>
      </c>
      <c r="E49" t="inlineStr">
        <is>
          <t>Maschio</t>
        </is>
      </c>
      <c r="F49" t="inlineStr">
        <is>
          <t>Laurea triennale</t>
        </is>
      </c>
      <c r="G49" t="n">
        <v>4</v>
      </c>
      <c r="H49" t="n">
        <v>1</v>
      </c>
    </row>
    <row r="50">
      <c r="A50" t="inlineStr">
        <is>
          <t>user_0104</t>
        </is>
      </c>
      <c r="B50" t="inlineStr">
        <is>
          <t>expert</t>
        </is>
      </c>
      <c r="C50" t="inlineStr">
        <is>
          <t>it</t>
        </is>
      </c>
      <c r="D50" t="n">
        <v>27</v>
      </c>
      <c r="E50" t="inlineStr">
        <is>
          <t>Maschio</t>
        </is>
      </c>
      <c r="F50" t="inlineStr">
        <is>
          <t>Laurea triennale</t>
        </is>
      </c>
      <c r="G50" t="n">
        <v>5</v>
      </c>
      <c r="H50" t="n">
        <v>1</v>
      </c>
    </row>
    <row r="51">
      <c r="A51" t="inlineStr">
        <is>
          <t>user_0105</t>
        </is>
      </c>
      <c r="B51" t="inlineStr">
        <is>
          <t>expert</t>
        </is>
      </c>
      <c r="C51" t="inlineStr">
        <is>
          <t>it</t>
        </is>
      </c>
      <c r="D51" t="n">
        <v>23</v>
      </c>
      <c r="E51" t="inlineStr">
        <is>
          <t>Maschio</t>
        </is>
      </c>
      <c r="F51" t="inlineStr">
        <is>
          <t>Laurea triennale</t>
        </is>
      </c>
      <c r="G51" t="n">
        <v>4</v>
      </c>
      <c r="H51" t="n">
        <v>1</v>
      </c>
    </row>
    <row r="52">
      <c r="A52" t="inlineStr">
        <is>
          <t>user_0106</t>
        </is>
      </c>
      <c r="B52" t="inlineStr">
        <is>
          <t>expert</t>
        </is>
      </c>
      <c r="C52" t="inlineStr">
        <is>
          <t>it</t>
        </is>
      </c>
      <c r="D52" t="n">
        <v>23</v>
      </c>
      <c r="E52" t="inlineStr">
        <is>
          <t>Femmina</t>
        </is>
      </c>
      <c r="F52" t="inlineStr">
        <is>
          <t>Laurea triennale</t>
        </is>
      </c>
      <c r="G52" t="n">
        <v>5</v>
      </c>
      <c r="H52" t="n">
        <v>1</v>
      </c>
    </row>
    <row r="53">
      <c r="A53" t="inlineStr">
        <is>
          <t>user_0107</t>
        </is>
      </c>
      <c r="B53" t="inlineStr">
        <is>
          <t>expert</t>
        </is>
      </c>
      <c r="C53" t="inlineStr">
        <is>
          <t>it</t>
        </is>
      </c>
      <c r="D53" t="n">
        <v>23</v>
      </c>
      <c r="E53" t="inlineStr">
        <is>
          <t>Maschio</t>
        </is>
      </c>
      <c r="F53" t="inlineStr">
        <is>
          <t>Laurea triennale</t>
        </is>
      </c>
      <c r="G53" t="n">
        <v>5</v>
      </c>
      <c r="H53" t="n">
        <v>1</v>
      </c>
    </row>
    <row r="54">
      <c r="A54" t="inlineStr">
        <is>
          <t>user_0108</t>
        </is>
      </c>
      <c r="B54" t="inlineStr">
        <is>
          <t>expert</t>
        </is>
      </c>
      <c r="C54" t="inlineStr">
        <is>
          <t>it</t>
        </is>
      </c>
      <c r="D54" t="n">
        <v>38</v>
      </c>
      <c r="E54" t="inlineStr">
        <is>
          <t>Maschio</t>
        </is>
      </c>
      <c r="F54" t="inlineStr">
        <is>
          <t>Laurea triennale</t>
        </is>
      </c>
      <c r="G54" t="n">
        <v>5</v>
      </c>
      <c r="H54" t="n">
        <v>1</v>
      </c>
    </row>
    <row r="55">
      <c r="A55" t="inlineStr">
        <is>
          <t>user_0109</t>
        </is>
      </c>
      <c r="B55" t="inlineStr">
        <is>
          <t>expert</t>
        </is>
      </c>
      <c r="C55" t="inlineStr">
        <is>
          <t>it</t>
        </is>
      </c>
      <c r="D55" t="n">
        <v>26</v>
      </c>
      <c r="E55" t="inlineStr">
        <is>
          <t>Maschio</t>
        </is>
      </c>
      <c r="F55" t="inlineStr">
        <is>
          <t>Laurea magistrale</t>
        </is>
      </c>
      <c r="G55" t="n">
        <v>5</v>
      </c>
      <c r="H55" t="n">
        <v>1</v>
      </c>
    </row>
    <row r="56">
      <c r="A56" t="inlineStr">
        <is>
          <t>user_0110</t>
        </is>
      </c>
      <c r="B56" t="inlineStr">
        <is>
          <t>expert</t>
        </is>
      </c>
      <c r="C56" t="inlineStr">
        <is>
          <t>it</t>
        </is>
      </c>
      <c r="D56" t="n">
        <v>36</v>
      </c>
      <c r="E56" t="inlineStr">
        <is>
          <t>Maschio</t>
        </is>
      </c>
      <c r="F56" t="inlineStr">
        <is>
          <t>Scuola superiore</t>
        </is>
      </c>
      <c r="G56" t="n">
        <v>4</v>
      </c>
      <c r="H56" t="n">
        <v>2</v>
      </c>
    </row>
    <row r="57">
      <c r="A57" t="inlineStr">
        <is>
          <t>user_0113</t>
        </is>
      </c>
      <c r="B57" t="inlineStr">
        <is>
          <t>expert</t>
        </is>
      </c>
      <c r="C57" t="inlineStr">
        <is>
          <t>it</t>
        </is>
      </c>
      <c r="D57" t="n">
        <v>30</v>
      </c>
      <c r="E57" t="inlineStr">
        <is>
          <t>Maschio</t>
        </is>
      </c>
      <c r="F57" t="inlineStr">
        <is>
          <t>Laurea triennale</t>
        </is>
      </c>
      <c r="G57" t="n">
        <v>4</v>
      </c>
      <c r="H57" t="n">
        <v>2</v>
      </c>
    </row>
    <row r="58">
      <c r="A58" t="inlineStr">
        <is>
          <t>user_0114</t>
        </is>
      </c>
      <c r="B58" t="inlineStr">
        <is>
          <t>expert</t>
        </is>
      </c>
      <c r="C58" t="inlineStr">
        <is>
          <t>it</t>
        </is>
      </c>
      <c r="D58" t="n">
        <v>27</v>
      </c>
      <c r="E58" t="inlineStr">
        <is>
          <t>Maschio</t>
        </is>
      </c>
      <c r="F58" t="inlineStr">
        <is>
          <t>Laurea triennale</t>
        </is>
      </c>
      <c r="G58" t="n">
        <v>4</v>
      </c>
      <c r="H58" t="n">
        <v>4</v>
      </c>
    </row>
    <row r="59">
      <c r="A59" t="inlineStr">
        <is>
          <t>user_0115</t>
        </is>
      </c>
      <c r="B59" t="inlineStr">
        <is>
          <t>expert</t>
        </is>
      </c>
      <c r="C59" t="inlineStr">
        <is>
          <t>it</t>
        </is>
      </c>
      <c r="D59" t="n">
        <v>22</v>
      </c>
      <c r="E59" t="inlineStr">
        <is>
          <t>Maschio</t>
        </is>
      </c>
      <c r="F59" t="inlineStr">
        <is>
          <t>Laurea magistrale</t>
        </is>
      </c>
      <c r="G59" t="n">
        <v>5</v>
      </c>
      <c r="H59" t="n">
        <v>1</v>
      </c>
    </row>
    <row r="60">
      <c r="A60" t="inlineStr">
        <is>
          <t>user_0116</t>
        </is>
      </c>
      <c r="B60" t="inlineStr">
        <is>
          <t>expert</t>
        </is>
      </c>
      <c r="C60" t="inlineStr">
        <is>
          <t>it</t>
        </is>
      </c>
      <c r="D60" t="n">
        <v>22</v>
      </c>
      <c r="E60" t="inlineStr">
        <is>
          <t>Maschio</t>
        </is>
      </c>
      <c r="F60" t="inlineStr">
        <is>
          <t>Laurea triennale</t>
        </is>
      </c>
      <c r="G60" t="n">
        <v>5</v>
      </c>
      <c r="H60" t="n">
        <v>1</v>
      </c>
    </row>
    <row r="61">
      <c r="A61" t="inlineStr">
        <is>
          <t>user_0118</t>
        </is>
      </c>
      <c r="B61" t="inlineStr">
        <is>
          <t>expert</t>
        </is>
      </c>
      <c r="C61" t="inlineStr">
        <is>
          <t>it</t>
        </is>
      </c>
      <c r="D61" t="n">
        <v>24</v>
      </c>
      <c r="E61" t="inlineStr">
        <is>
          <t>Maschio</t>
        </is>
      </c>
      <c r="F61" t="inlineStr">
        <is>
          <t>Laurea triennale</t>
        </is>
      </c>
      <c r="G61" t="n">
        <v>4</v>
      </c>
      <c r="H61" t="n">
        <v>1</v>
      </c>
    </row>
    <row r="62">
      <c r="A62" t="inlineStr">
        <is>
          <t>user_0119</t>
        </is>
      </c>
      <c r="B62" t="inlineStr">
        <is>
          <t>expert</t>
        </is>
      </c>
      <c r="C62" t="inlineStr">
        <is>
          <t>it</t>
        </is>
      </c>
      <c r="D62" t="n">
        <v>22</v>
      </c>
      <c r="E62" t="inlineStr">
        <is>
          <t>Femmina</t>
        </is>
      </c>
      <c r="F62" t="inlineStr">
        <is>
          <t>Laurea triennale</t>
        </is>
      </c>
      <c r="G62" t="n">
        <v>3</v>
      </c>
      <c r="H62" t="n">
        <v>1</v>
      </c>
    </row>
    <row r="63">
      <c r="A63" t="inlineStr">
        <is>
          <t>user_0120</t>
        </is>
      </c>
      <c r="B63" t="inlineStr">
        <is>
          <t>expert</t>
        </is>
      </c>
      <c r="C63" t="inlineStr">
        <is>
          <t>it</t>
        </is>
      </c>
      <c r="D63" t="n">
        <v>22</v>
      </c>
      <c r="E63" t="inlineStr">
        <is>
          <t>Maschio</t>
        </is>
      </c>
      <c r="F63" t="inlineStr">
        <is>
          <t>Laurea triennale</t>
        </is>
      </c>
      <c r="G63" t="n">
        <v>4</v>
      </c>
      <c r="H63" t="n">
        <v>1</v>
      </c>
    </row>
    <row r="64">
      <c r="A64" t="inlineStr">
        <is>
          <t>user_0121</t>
        </is>
      </c>
      <c r="B64" t="inlineStr">
        <is>
          <t>expert</t>
        </is>
      </c>
      <c r="C64" t="inlineStr">
        <is>
          <t>it</t>
        </is>
      </c>
      <c r="D64" t="n">
        <v>22</v>
      </c>
      <c r="E64" t="inlineStr">
        <is>
          <t>Femmina</t>
        </is>
      </c>
      <c r="F64" t="inlineStr">
        <is>
          <t>Laurea triennale</t>
        </is>
      </c>
      <c r="G64" t="n">
        <v>4</v>
      </c>
      <c r="H64" t="n">
        <v>1</v>
      </c>
    </row>
    <row r="65">
      <c r="A65" t="inlineStr">
        <is>
          <t>user_0123</t>
        </is>
      </c>
      <c r="B65" t="inlineStr">
        <is>
          <t>expert</t>
        </is>
      </c>
      <c r="C65" t="inlineStr">
        <is>
          <t>it</t>
        </is>
      </c>
      <c r="D65" t="n">
        <v>21</v>
      </c>
      <c r="E65" t="inlineStr">
        <is>
          <t>Maschio</t>
        </is>
      </c>
      <c r="F65" t="inlineStr">
        <is>
          <t>Laurea triennale</t>
        </is>
      </c>
      <c r="G65" t="n">
        <v>3</v>
      </c>
      <c r="H65" t="n">
        <v>1</v>
      </c>
    </row>
    <row r="66">
      <c r="A66" t="inlineStr">
        <is>
          <t>user_0124</t>
        </is>
      </c>
      <c r="B66" t="inlineStr">
        <is>
          <t>expert</t>
        </is>
      </c>
      <c r="C66" t="inlineStr">
        <is>
          <t>it</t>
        </is>
      </c>
      <c r="D66" t="n">
        <v>22</v>
      </c>
      <c r="E66" t="inlineStr">
        <is>
          <t>Femmina</t>
        </is>
      </c>
      <c r="F66" t="inlineStr">
        <is>
          <t>Laurea triennale</t>
        </is>
      </c>
      <c r="G66" t="n">
        <v>3</v>
      </c>
      <c r="H66" t="n">
        <v>1</v>
      </c>
    </row>
    <row r="67">
      <c r="A67" t="inlineStr">
        <is>
          <t>user_0125</t>
        </is>
      </c>
      <c r="B67" t="inlineStr">
        <is>
          <t>expert</t>
        </is>
      </c>
      <c r="C67" t="inlineStr">
        <is>
          <t>it</t>
        </is>
      </c>
      <c r="D67" t="n">
        <v>24</v>
      </c>
      <c r="E67" t="inlineStr">
        <is>
          <t>Maschio</t>
        </is>
      </c>
      <c r="F67" t="inlineStr">
        <is>
          <t>Laurea magistrale</t>
        </is>
      </c>
      <c r="G67" t="n">
        <v>3</v>
      </c>
      <c r="H67" t="n">
        <v>1</v>
      </c>
    </row>
    <row r="68">
      <c r="A68" t="inlineStr">
        <is>
          <t>user_0126</t>
        </is>
      </c>
      <c r="B68" t="inlineStr">
        <is>
          <t>expert</t>
        </is>
      </c>
      <c r="C68" t="inlineStr">
        <is>
          <t>it</t>
        </is>
      </c>
      <c r="D68" t="n">
        <v>26</v>
      </c>
      <c r="E68" t="inlineStr">
        <is>
          <t>Femmina</t>
        </is>
      </c>
      <c r="F68" t="inlineStr">
        <is>
          <t>Laurea magistrale</t>
        </is>
      </c>
      <c r="G68" t="n">
        <v>5</v>
      </c>
      <c r="H68" t="n">
        <v>5</v>
      </c>
    </row>
    <row r="69">
      <c r="A69" t="inlineStr">
        <is>
          <t>user_0127</t>
        </is>
      </c>
      <c r="B69" t="inlineStr">
        <is>
          <t>expert</t>
        </is>
      </c>
      <c r="C69" t="inlineStr">
        <is>
          <t>it</t>
        </is>
      </c>
      <c r="D69" t="n">
        <v>25</v>
      </c>
      <c r="E69" t="inlineStr">
        <is>
          <t>Maschio</t>
        </is>
      </c>
      <c r="F69" t="inlineStr">
        <is>
          <t>Laurea magistrale</t>
        </is>
      </c>
      <c r="G69" t="n">
        <v>5</v>
      </c>
      <c r="H69" t="n">
        <v>4</v>
      </c>
    </row>
    <row r="70">
      <c r="A70" t="inlineStr">
        <is>
          <t>user_0128</t>
        </is>
      </c>
      <c r="B70" t="inlineStr">
        <is>
          <t>expert</t>
        </is>
      </c>
      <c r="C70" t="inlineStr">
        <is>
          <t>it</t>
        </is>
      </c>
      <c r="D70" t="n">
        <v>25</v>
      </c>
      <c r="E70" t="inlineStr">
        <is>
          <t>Maschio</t>
        </is>
      </c>
      <c r="F70" t="inlineStr">
        <is>
          <t>Laurea magistrale</t>
        </is>
      </c>
      <c r="G70" t="n">
        <v>5</v>
      </c>
      <c r="H70" t="n">
        <v>4</v>
      </c>
    </row>
    <row r="71">
      <c r="A71" t="inlineStr">
        <is>
          <t>user_0129</t>
        </is>
      </c>
      <c r="B71" t="inlineStr">
        <is>
          <t>expert</t>
        </is>
      </c>
      <c r="C71" t="inlineStr">
        <is>
          <t>it</t>
        </is>
      </c>
      <c r="D71" t="n">
        <v>25</v>
      </c>
      <c r="E71" t="inlineStr">
        <is>
          <t>Maschio</t>
        </is>
      </c>
      <c r="F71" t="inlineStr">
        <is>
          <t>Laurea magistrale</t>
        </is>
      </c>
      <c r="G71" t="n">
        <v>5</v>
      </c>
      <c r="H71" t="n">
        <v>5</v>
      </c>
      <c r="I71" t="inlineStr">
        <is>
          <t>no_engagement_all_same</t>
        </is>
      </c>
    </row>
    <row r="72">
      <c r="A72" t="inlineStr">
        <is>
          <t>user_0130</t>
        </is>
      </c>
      <c r="B72" t="inlineStr">
        <is>
          <t>expert</t>
        </is>
      </c>
      <c r="C72" t="inlineStr">
        <is>
          <t>it</t>
        </is>
      </c>
      <c r="D72" t="n">
        <v>29</v>
      </c>
      <c r="E72" t="inlineStr">
        <is>
          <t>Maschio</t>
        </is>
      </c>
      <c r="F72" t="inlineStr">
        <is>
          <t>Dottorato/Post-doc</t>
        </is>
      </c>
      <c r="G72" t="n">
        <v>5</v>
      </c>
      <c r="H72" t="n">
        <v>3</v>
      </c>
    </row>
    <row r="73">
      <c r="A73" t="inlineStr">
        <is>
          <t>user_0131</t>
        </is>
      </c>
      <c r="B73" t="inlineStr">
        <is>
          <t>expert</t>
        </is>
      </c>
      <c r="C73" t="inlineStr">
        <is>
          <t>it</t>
        </is>
      </c>
      <c r="D73" t="n">
        <v>36</v>
      </c>
      <c r="E73" t="inlineStr">
        <is>
          <t>Maschio</t>
        </is>
      </c>
      <c r="F73" t="inlineStr">
        <is>
          <t>Laurea magistrale</t>
        </is>
      </c>
      <c r="G73" t="n">
        <v>4</v>
      </c>
      <c r="H73" t="n">
        <v>1</v>
      </c>
    </row>
    <row r="74">
      <c r="A74" t="inlineStr">
        <is>
          <t>user_0132</t>
        </is>
      </c>
      <c r="B74" t="inlineStr">
        <is>
          <t>expert</t>
        </is>
      </c>
      <c r="C74" t="inlineStr">
        <is>
          <t>it</t>
        </is>
      </c>
      <c r="D74" t="n">
        <v>22</v>
      </c>
      <c r="E74" t="inlineStr">
        <is>
          <t>Maschio</t>
        </is>
      </c>
      <c r="F74" t="inlineStr">
        <is>
          <t>Laurea magistrale</t>
        </is>
      </c>
      <c r="G74" t="n">
        <v>3</v>
      </c>
      <c r="H74" t="n">
        <v>2</v>
      </c>
    </row>
    <row r="75">
      <c r="A75" t="inlineStr">
        <is>
          <t>user_0133</t>
        </is>
      </c>
      <c r="B75" t="inlineStr">
        <is>
          <t>expert</t>
        </is>
      </c>
      <c r="C75" t="inlineStr">
        <is>
          <t>it</t>
        </is>
      </c>
      <c r="D75" t="n">
        <v>36</v>
      </c>
      <c r="E75" t="inlineStr">
        <is>
          <t>Maschio</t>
        </is>
      </c>
      <c r="F75" t="inlineStr">
        <is>
          <t>Laurea triennale</t>
        </is>
      </c>
      <c r="G75" t="n">
        <v>5</v>
      </c>
      <c r="H75" t="n">
        <v>3</v>
      </c>
      <c r="I75" t="inlineStr">
        <is>
          <t>no_engagement_all_same</t>
        </is>
      </c>
    </row>
    <row r="76">
      <c r="A76" t="inlineStr">
        <is>
          <t>user_0134</t>
        </is>
      </c>
      <c r="B76" t="inlineStr">
        <is>
          <t>expert</t>
        </is>
      </c>
      <c r="C76" t="inlineStr">
        <is>
          <t>it</t>
        </is>
      </c>
      <c r="D76" t="n">
        <v>35</v>
      </c>
      <c r="E76" t="inlineStr">
        <is>
          <t>Femmina</t>
        </is>
      </c>
      <c r="F76" t="inlineStr">
        <is>
          <t>Dottorato/Post-doc</t>
        </is>
      </c>
      <c r="G76" t="n">
        <v>5</v>
      </c>
      <c r="H76" t="n">
        <v>5</v>
      </c>
    </row>
    <row r="77">
      <c r="A77" t="inlineStr">
        <is>
          <t>user_0150</t>
        </is>
      </c>
      <c r="B77" t="inlineStr">
        <is>
          <t>expert</t>
        </is>
      </c>
      <c r="C77" t="inlineStr">
        <is>
          <t>it</t>
        </is>
      </c>
      <c r="D77" t="n">
        <v>25</v>
      </c>
      <c r="E77" t="inlineStr">
        <is>
          <t>Maschio</t>
        </is>
      </c>
      <c r="F77" t="inlineStr">
        <is>
          <t>Laurea triennale</t>
        </is>
      </c>
      <c r="G77" t="n">
        <v>4</v>
      </c>
      <c r="H77" t="n">
        <v>1</v>
      </c>
      <c r="I77" t="inlineStr">
        <is>
          <t>no_engagement_all_same</t>
        </is>
      </c>
    </row>
    <row r="78">
      <c r="A78" t="inlineStr">
        <is>
          <t>user_0152</t>
        </is>
      </c>
      <c r="B78" t="inlineStr">
        <is>
          <t>expert</t>
        </is>
      </c>
      <c r="C78" t="inlineStr">
        <is>
          <t>it</t>
        </is>
      </c>
      <c r="D78" t="n">
        <v>23</v>
      </c>
      <c r="E78" t="inlineStr">
        <is>
          <t>Maschio</t>
        </is>
      </c>
      <c r="F78" t="inlineStr">
        <is>
          <t>Laurea triennale</t>
        </is>
      </c>
      <c r="G78" t="n">
        <v>5</v>
      </c>
      <c r="H78" t="n">
        <v>5</v>
      </c>
    </row>
    <row r="79">
      <c r="A79" t="inlineStr">
        <is>
          <t>user_0153</t>
        </is>
      </c>
      <c r="B79" t="inlineStr">
        <is>
          <t>expert</t>
        </is>
      </c>
      <c r="C79" t="inlineStr">
        <is>
          <t>it</t>
        </is>
      </c>
      <c r="D79" t="n">
        <v>24</v>
      </c>
      <c r="E79" t="inlineStr">
        <is>
          <t>Maschio</t>
        </is>
      </c>
      <c r="F79" t="inlineStr">
        <is>
          <t>Laurea triennale</t>
        </is>
      </c>
      <c r="G79" t="n">
        <v>4</v>
      </c>
      <c r="H79" t="n">
        <v>4</v>
      </c>
    </row>
    <row r="80">
      <c r="A80" t="inlineStr">
        <is>
          <t>user_0158</t>
        </is>
      </c>
      <c r="B80" t="inlineStr">
        <is>
          <t>expert</t>
        </is>
      </c>
      <c r="C80" t="inlineStr">
        <is>
          <t>it</t>
        </is>
      </c>
      <c r="D80" t="n">
        <v>25</v>
      </c>
      <c r="E80" t="inlineStr">
        <is>
          <t>Maschio</t>
        </is>
      </c>
      <c r="F80" t="inlineStr">
        <is>
          <t>Laurea triennale</t>
        </is>
      </c>
      <c r="G80" t="n">
        <v>4</v>
      </c>
      <c r="H80" t="n">
        <v>1</v>
      </c>
    </row>
    <row r="81">
      <c r="A81" t="inlineStr">
        <is>
          <t>user_0170</t>
        </is>
      </c>
      <c r="B81" t="inlineStr">
        <is>
          <t>expert</t>
        </is>
      </c>
      <c r="C81" t="inlineStr">
        <is>
          <t>it</t>
        </is>
      </c>
      <c r="D81" t="n">
        <v>29</v>
      </c>
      <c r="E81" t="inlineStr">
        <is>
          <t>Maschio</t>
        </is>
      </c>
      <c r="F81" t="inlineStr">
        <is>
          <t>Dottorato/Post-doc</t>
        </is>
      </c>
      <c r="G81" t="n">
        <v>5</v>
      </c>
      <c r="H81" t="n">
        <v>2</v>
      </c>
    </row>
    <row r="82">
      <c r="A82" t="inlineStr">
        <is>
          <t>user_0171</t>
        </is>
      </c>
      <c r="B82" t="inlineStr">
        <is>
          <t>expert</t>
        </is>
      </c>
      <c r="C82" t="inlineStr">
        <is>
          <t>it</t>
        </is>
      </c>
      <c r="D82" t="n">
        <v>25</v>
      </c>
      <c r="E82" t="inlineStr">
        <is>
          <t>Maschio</t>
        </is>
      </c>
      <c r="F82" t="inlineStr">
        <is>
          <t>Laurea magistrale</t>
        </is>
      </c>
      <c r="G82" t="n">
        <v>5</v>
      </c>
      <c r="H82" t="n">
        <v>1</v>
      </c>
    </row>
    <row r="83">
      <c r="A83" t="inlineStr">
        <is>
          <t>user_0201</t>
        </is>
      </c>
      <c r="B83" t="inlineStr">
        <is>
          <t>expert</t>
        </is>
      </c>
      <c r="C83" t="inlineStr">
        <is>
          <t>it</t>
        </is>
      </c>
      <c r="D83" t="n">
        <v>22</v>
      </c>
      <c r="E83" t="inlineStr">
        <is>
          <t>Femmina</t>
        </is>
      </c>
      <c r="F83" t="inlineStr">
        <is>
          <t>Laurea triennale</t>
        </is>
      </c>
      <c r="G83" t="n">
        <v>5</v>
      </c>
      <c r="H83" t="n">
        <v>1</v>
      </c>
    </row>
    <row r="84">
      <c r="A84" t="inlineStr">
        <is>
          <t>user_0203</t>
        </is>
      </c>
      <c r="B84" t="inlineStr">
        <is>
          <t>expert</t>
        </is>
      </c>
      <c r="C84" t="inlineStr">
        <is>
          <t>it</t>
        </is>
      </c>
      <c r="D84" t="n">
        <v>25</v>
      </c>
      <c r="E84" t="inlineStr">
        <is>
          <t>Maschio</t>
        </is>
      </c>
      <c r="F84" t="inlineStr">
        <is>
          <t>Laurea triennale</t>
        </is>
      </c>
      <c r="G84" t="n">
        <v>4</v>
      </c>
      <c r="H84" t="n">
        <v>1</v>
      </c>
    </row>
    <row r="85">
      <c r="A85" t="inlineStr">
        <is>
          <t>user_0204</t>
        </is>
      </c>
      <c r="B85" t="inlineStr">
        <is>
          <t>expert</t>
        </is>
      </c>
      <c r="C85" t="inlineStr">
        <is>
          <t>it</t>
        </is>
      </c>
      <c r="D85" t="n">
        <v>23</v>
      </c>
      <c r="E85" t="inlineStr">
        <is>
          <t>Maschio</t>
        </is>
      </c>
      <c r="F85" t="inlineStr">
        <is>
          <t>Laurea magistrale</t>
        </is>
      </c>
      <c r="G85" t="n">
        <v>3</v>
      </c>
      <c r="H85" t="n">
        <v>1</v>
      </c>
    </row>
    <row r="86">
      <c r="A86" t="inlineStr">
        <is>
          <t>user_0205</t>
        </is>
      </c>
      <c r="B86" t="inlineStr">
        <is>
          <t>expert</t>
        </is>
      </c>
      <c r="C86" t="inlineStr">
        <is>
          <t>it</t>
        </is>
      </c>
      <c r="D86" t="n">
        <v>34</v>
      </c>
      <c r="E86" t="inlineStr">
        <is>
          <t>Femmina</t>
        </is>
      </c>
      <c r="F86" t="inlineStr">
        <is>
          <t>Dottorato/Post-doc</t>
        </is>
      </c>
      <c r="G86" t="n">
        <v>5</v>
      </c>
      <c r="H8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8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>
      <c r="A1" s="2" t="inlineStr">
        <is>
          <t>participant_id</t>
        </is>
      </c>
      <c r="B1" s="2" t="inlineStr">
        <is>
          <t>item_1</t>
        </is>
      </c>
      <c r="C1" s="2" t="inlineStr">
        <is>
          <t>item_2</t>
        </is>
      </c>
      <c r="D1" s="2" t="inlineStr">
        <is>
          <t>item_3</t>
        </is>
      </c>
      <c r="E1" s="2" t="inlineStr">
        <is>
          <t>item_4</t>
        </is>
      </c>
      <c r="F1" s="2" t="inlineStr">
        <is>
          <t>item_5</t>
        </is>
      </c>
      <c r="G1" s="2" t="inlineStr">
        <is>
          <t>item_6</t>
        </is>
      </c>
      <c r="H1" s="2" t="inlineStr">
        <is>
          <t>item_7</t>
        </is>
      </c>
      <c r="I1" s="2" t="inlineStr">
        <is>
          <t>item_8</t>
        </is>
      </c>
      <c r="J1" s="2" t="inlineStr">
        <is>
          <t>item_9</t>
        </is>
      </c>
      <c r="K1" s="2" t="inlineStr">
        <is>
          <t>item_10</t>
        </is>
      </c>
      <c r="L1" s="2" t="inlineStr">
        <is>
          <t>t_1</t>
        </is>
      </c>
      <c r="M1" s="2" t="inlineStr">
        <is>
          <t>t_2</t>
        </is>
      </c>
      <c r="N1" s="2" t="inlineStr">
        <is>
          <t>t_3</t>
        </is>
      </c>
      <c r="O1" s="2" t="inlineStr">
        <is>
          <t>t_4</t>
        </is>
      </c>
      <c r="P1" s="2" t="inlineStr">
        <is>
          <t>t_5</t>
        </is>
      </c>
      <c r="Q1" s="2" t="inlineStr">
        <is>
          <t>t_6</t>
        </is>
      </c>
      <c r="R1" s="2" t="inlineStr">
        <is>
          <t>t_7</t>
        </is>
      </c>
      <c r="S1" s="2" t="inlineStr">
        <is>
          <t>t_8</t>
        </is>
      </c>
      <c r="T1" s="2" t="inlineStr">
        <is>
          <t>t_9</t>
        </is>
      </c>
      <c r="U1" s="2" t="inlineStr">
        <is>
          <t>t_10</t>
        </is>
      </c>
      <c r="V1" s="2" t="inlineStr">
        <is>
          <t>sum_t</t>
        </is>
      </c>
      <c r="W1" s="2" t="inlineStr">
        <is>
          <t>sus_score</t>
        </is>
      </c>
      <c r="X1" s="2" t="inlineStr">
        <is>
          <t>user_type</t>
        </is>
      </c>
    </row>
    <row r="2">
      <c r="A2" t="inlineStr">
        <is>
          <t>user_0001</t>
        </is>
      </c>
      <c r="B2" t="n">
        <v>-1.831669051752704</v>
      </c>
      <c r="C2" t="n">
        <v>2</v>
      </c>
      <c r="D2" t="n">
        <v>7.331669051752704</v>
      </c>
      <c r="E2" t="n">
        <v>2.5</v>
      </c>
      <c r="F2" t="n">
        <v>3</v>
      </c>
      <c r="G2" t="n">
        <v>3</v>
      </c>
      <c r="H2" t="n">
        <v>2.5</v>
      </c>
      <c r="I2" t="n">
        <v>3.5</v>
      </c>
      <c r="J2" t="n">
        <v>3</v>
      </c>
      <c r="K2" t="n">
        <v>2.5</v>
      </c>
      <c r="L2">
        <f>B2-1</f>
        <v/>
      </c>
      <c r="M2">
        <f>5-C2</f>
        <v/>
      </c>
      <c r="N2">
        <f>D2-1</f>
        <v/>
      </c>
      <c r="O2">
        <f>5-E2</f>
        <v/>
      </c>
      <c r="P2">
        <f>F2-1</f>
        <v/>
      </c>
      <c r="Q2">
        <f>5-G2</f>
        <v/>
      </c>
      <c r="R2">
        <f>H2-1</f>
        <v/>
      </c>
      <c r="S2">
        <f>5-I2</f>
        <v/>
      </c>
      <c r="T2">
        <f>J2-1</f>
        <v/>
      </c>
      <c r="U2">
        <f>5-K2</f>
        <v/>
      </c>
      <c r="V2">
        <f>SUM(L2:U2)</f>
        <v/>
      </c>
      <c r="W2">
        <f>V2*2.5</f>
        <v/>
      </c>
      <c r="X2">
        <f>VLOOKUP(A2,Participants!$A$2:$B$86,2,FALSE)</f>
        <v/>
      </c>
    </row>
    <row r="3">
      <c r="A3" t="inlineStr">
        <is>
          <t>user_0002</t>
        </is>
      </c>
      <c r="B3" t="n">
        <v>2</v>
      </c>
      <c r="C3" t="n">
        <v>3</v>
      </c>
      <c r="D3" t="n">
        <v>3</v>
      </c>
      <c r="E3" t="n">
        <v>2</v>
      </c>
      <c r="F3" t="n">
        <v>3</v>
      </c>
      <c r="G3" t="n">
        <v>2.5</v>
      </c>
      <c r="H3" t="n">
        <v>4</v>
      </c>
      <c r="I3" t="n">
        <v>4</v>
      </c>
      <c r="J3" t="n">
        <v>3</v>
      </c>
      <c r="K3" t="n">
        <v>1</v>
      </c>
      <c r="L3">
        <f>B3-1</f>
        <v/>
      </c>
      <c r="M3">
        <f>5-C3</f>
        <v/>
      </c>
      <c r="N3">
        <f>D3-1</f>
        <v/>
      </c>
      <c r="O3">
        <f>5-E3</f>
        <v/>
      </c>
      <c r="P3">
        <f>F3-1</f>
        <v/>
      </c>
      <c r="Q3">
        <f>5-G3</f>
        <v/>
      </c>
      <c r="R3">
        <f>H3-1</f>
        <v/>
      </c>
      <c r="S3">
        <f>5-I3</f>
        <v/>
      </c>
      <c r="T3">
        <f>J3-1</f>
        <v/>
      </c>
      <c r="U3">
        <f>5-K3</f>
        <v/>
      </c>
      <c r="V3">
        <f>SUM(L3:U3)</f>
        <v/>
      </c>
      <c r="W3">
        <f>V3*2.5</f>
        <v/>
      </c>
      <c r="X3">
        <f>VLOOKUP(A3,Participants!$A$2:$B$86,2,FALSE)</f>
        <v/>
      </c>
    </row>
    <row r="4">
      <c r="A4" t="inlineStr">
        <is>
          <t>user_0003</t>
        </is>
      </c>
      <c r="B4" t="n">
        <v>4</v>
      </c>
      <c r="C4" t="n">
        <v>3</v>
      </c>
      <c r="D4" t="n">
        <v>3</v>
      </c>
      <c r="E4" t="n">
        <v>1</v>
      </c>
      <c r="F4" t="n">
        <v>3</v>
      </c>
      <c r="G4" t="n">
        <v>1</v>
      </c>
      <c r="H4" t="n">
        <v>4</v>
      </c>
      <c r="I4" t="n">
        <v>1.5</v>
      </c>
      <c r="J4" t="n">
        <v>4</v>
      </c>
      <c r="K4" t="n">
        <v>1</v>
      </c>
      <c r="L4">
        <f>B4-1</f>
        <v/>
      </c>
      <c r="M4">
        <f>5-C4</f>
        <v/>
      </c>
      <c r="N4">
        <f>D4-1</f>
        <v/>
      </c>
      <c r="O4">
        <f>5-E4</f>
        <v/>
      </c>
      <c r="P4">
        <f>F4-1</f>
        <v/>
      </c>
      <c r="Q4">
        <f>5-G4</f>
        <v/>
      </c>
      <c r="R4">
        <f>H4-1</f>
        <v/>
      </c>
      <c r="S4">
        <f>5-I4</f>
        <v/>
      </c>
      <c r="T4">
        <f>J4-1</f>
        <v/>
      </c>
      <c r="U4">
        <f>5-K4</f>
        <v/>
      </c>
      <c r="V4">
        <f>SUM(L4:U4)</f>
        <v/>
      </c>
      <c r="W4">
        <f>V4*2.5</f>
        <v/>
      </c>
      <c r="X4">
        <f>VLOOKUP(A4,Participants!$A$2:$B$86,2,FALSE)</f>
        <v/>
      </c>
    </row>
    <row r="5">
      <c r="A5" t="inlineStr">
        <is>
          <t>user_0004</t>
        </is>
      </c>
      <c r="B5" t="n">
        <v>1.5</v>
      </c>
      <c r="C5" t="n">
        <v>2</v>
      </c>
      <c r="D5" t="n">
        <v>4.5</v>
      </c>
      <c r="E5" t="n">
        <v>1</v>
      </c>
      <c r="F5" t="n">
        <v>2.5</v>
      </c>
      <c r="G5" t="n">
        <v>3.5</v>
      </c>
      <c r="H5" t="n">
        <v>5</v>
      </c>
      <c r="I5" t="n">
        <v>2</v>
      </c>
      <c r="J5" t="n">
        <v>3</v>
      </c>
      <c r="K5" t="n">
        <v>1.5</v>
      </c>
      <c r="L5">
        <f>B5-1</f>
        <v/>
      </c>
      <c r="M5">
        <f>5-C5</f>
        <v/>
      </c>
      <c r="N5">
        <f>D5-1</f>
        <v/>
      </c>
      <c r="O5">
        <f>5-E5</f>
        <v/>
      </c>
      <c r="P5">
        <f>F5-1</f>
        <v/>
      </c>
      <c r="Q5">
        <f>5-G5</f>
        <v/>
      </c>
      <c r="R5">
        <f>H5-1</f>
        <v/>
      </c>
      <c r="S5">
        <f>5-I5</f>
        <v/>
      </c>
      <c r="T5">
        <f>J5-1</f>
        <v/>
      </c>
      <c r="U5">
        <f>5-K5</f>
        <v/>
      </c>
      <c r="V5">
        <f>SUM(L5:U5)</f>
        <v/>
      </c>
      <c r="W5">
        <f>V5*2.5</f>
        <v/>
      </c>
      <c r="X5">
        <f>VLOOKUP(A5,Participants!$A$2:$B$86,2,FALSE)</f>
        <v/>
      </c>
    </row>
    <row r="6">
      <c r="A6" t="inlineStr">
        <is>
          <t>user_0005</t>
        </is>
      </c>
      <c r="B6" t="n">
        <v>1</v>
      </c>
      <c r="C6" t="n">
        <v>1.5</v>
      </c>
      <c r="D6" t="n">
        <v>4</v>
      </c>
      <c r="E6" t="n">
        <v>1</v>
      </c>
      <c r="F6" t="n">
        <v>2.5</v>
      </c>
      <c r="G6" t="n">
        <v>1.5</v>
      </c>
      <c r="H6" t="n">
        <v>4</v>
      </c>
      <c r="I6" t="n">
        <v>1</v>
      </c>
      <c r="J6" t="n">
        <v>3.5</v>
      </c>
      <c r="K6" t="n">
        <v>1</v>
      </c>
      <c r="L6">
        <f>B6-1</f>
        <v/>
      </c>
      <c r="M6">
        <f>5-C6</f>
        <v/>
      </c>
      <c r="N6">
        <f>D6-1</f>
        <v/>
      </c>
      <c r="O6">
        <f>5-E6</f>
        <v/>
      </c>
      <c r="P6">
        <f>F6-1</f>
        <v/>
      </c>
      <c r="Q6">
        <f>5-G6</f>
        <v/>
      </c>
      <c r="R6">
        <f>H6-1</f>
        <v/>
      </c>
      <c r="S6">
        <f>5-I6</f>
        <v/>
      </c>
      <c r="T6">
        <f>J6-1</f>
        <v/>
      </c>
      <c r="U6">
        <f>5-K6</f>
        <v/>
      </c>
      <c r="V6">
        <f>SUM(L6:U6)</f>
        <v/>
      </c>
      <c r="W6">
        <f>V6*2.5</f>
        <v/>
      </c>
      <c r="X6">
        <f>VLOOKUP(A6,Participants!$A$2:$B$86,2,FALSE)</f>
        <v/>
      </c>
    </row>
    <row r="7">
      <c r="A7" t="inlineStr">
        <is>
          <t>user_0006</t>
        </is>
      </c>
      <c r="B7" t="n">
        <v>3</v>
      </c>
      <c r="C7" t="n">
        <v>2</v>
      </c>
      <c r="D7" t="n">
        <v>3.5</v>
      </c>
      <c r="E7" t="n">
        <v>3</v>
      </c>
      <c r="F7" t="n">
        <v>3</v>
      </c>
      <c r="G7" t="n">
        <v>2</v>
      </c>
      <c r="H7" t="n">
        <v>3.5</v>
      </c>
      <c r="I7" t="n">
        <v>2</v>
      </c>
      <c r="J7" t="n">
        <v>3</v>
      </c>
      <c r="K7" t="n">
        <v>2.5</v>
      </c>
      <c r="L7">
        <f>B7-1</f>
        <v/>
      </c>
      <c r="M7">
        <f>5-C7</f>
        <v/>
      </c>
      <c r="N7">
        <f>D7-1</f>
        <v/>
      </c>
      <c r="O7">
        <f>5-E7</f>
        <v/>
      </c>
      <c r="P7">
        <f>F7-1</f>
        <v/>
      </c>
      <c r="Q7">
        <f>5-G7</f>
        <v/>
      </c>
      <c r="R7">
        <f>H7-1</f>
        <v/>
      </c>
      <c r="S7">
        <f>5-I7</f>
        <v/>
      </c>
      <c r="T7">
        <f>J7-1</f>
        <v/>
      </c>
      <c r="U7">
        <f>5-K7</f>
        <v/>
      </c>
      <c r="V7">
        <f>SUM(L7:U7)</f>
        <v/>
      </c>
      <c r="W7">
        <f>V7*2.5</f>
        <v/>
      </c>
      <c r="X7">
        <f>VLOOKUP(A7,Participants!$A$2:$B$86,2,FALSE)</f>
        <v/>
      </c>
    </row>
    <row r="8">
      <c r="A8" t="inlineStr">
        <is>
          <t>user_0007</t>
        </is>
      </c>
      <c r="B8" t="n">
        <v>3</v>
      </c>
      <c r="C8" t="n">
        <v>3</v>
      </c>
      <c r="D8" t="n">
        <v>2.5</v>
      </c>
      <c r="E8" t="n">
        <v>3.5</v>
      </c>
      <c r="F8" t="n">
        <v>2.5</v>
      </c>
      <c r="G8" t="n">
        <v>3.5</v>
      </c>
      <c r="H8" t="n">
        <v>1.5</v>
      </c>
      <c r="I8" t="n">
        <v>3</v>
      </c>
      <c r="J8" t="n">
        <v>3</v>
      </c>
      <c r="K8" t="n">
        <v>3</v>
      </c>
      <c r="L8">
        <f>B8-1</f>
        <v/>
      </c>
      <c r="M8">
        <f>5-C8</f>
        <v/>
      </c>
      <c r="N8">
        <f>D8-1</f>
        <v/>
      </c>
      <c r="O8">
        <f>5-E8</f>
        <v/>
      </c>
      <c r="P8">
        <f>F8-1</f>
        <v/>
      </c>
      <c r="Q8">
        <f>5-G8</f>
        <v/>
      </c>
      <c r="R8">
        <f>H8-1</f>
        <v/>
      </c>
      <c r="S8">
        <f>5-I8</f>
        <v/>
      </c>
      <c r="T8">
        <f>J8-1</f>
        <v/>
      </c>
      <c r="U8">
        <f>5-K8</f>
        <v/>
      </c>
      <c r="V8">
        <f>SUM(L8:U8)</f>
        <v/>
      </c>
      <c r="W8">
        <f>V8*2.5</f>
        <v/>
      </c>
      <c r="X8">
        <f>VLOOKUP(A8,Participants!$A$2:$B$86,2,FALSE)</f>
        <v/>
      </c>
    </row>
    <row r="9">
      <c r="A9" t="inlineStr">
        <is>
          <t>user_0008</t>
        </is>
      </c>
      <c r="B9" t="n">
        <v>2</v>
      </c>
      <c r="C9" t="n">
        <v>2</v>
      </c>
      <c r="D9" t="n">
        <v>3</v>
      </c>
      <c r="E9" t="n">
        <v>2</v>
      </c>
      <c r="F9" t="n">
        <v>4.5</v>
      </c>
      <c r="G9" t="n">
        <v>1</v>
      </c>
      <c r="H9" t="n">
        <v>2</v>
      </c>
      <c r="I9" t="n">
        <v>1</v>
      </c>
      <c r="J9" t="n">
        <v>4</v>
      </c>
      <c r="K9" t="n">
        <v>2</v>
      </c>
      <c r="L9">
        <f>B9-1</f>
        <v/>
      </c>
      <c r="M9">
        <f>5-C9</f>
        <v/>
      </c>
      <c r="N9">
        <f>D9-1</f>
        <v/>
      </c>
      <c r="O9">
        <f>5-E9</f>
        <v/>
      </c>
      <c r="P9">
        <f>F9-1</f>
        <v/>
      </c>
      <c r="Q9">
        <f>5-G9</f>
        <v/>
      </c>
      <c r="R9">
        <f>H9-1</f>
        <v/>
      </c>
      <c r="S9">
        <f>5-I9</f>
        <v/>
      </c>
      <c r="T9">
        <f>J9-1</f>
        <v/>
      </c>
      <c r="U9">
        <f>5-K9</f>
        <v/>
      </c>
      <c r="V9">
        <f>SUM(L9:U9)</f>
        <v/>
      </c>
      <c r="W9">
        <f>V9*2.5</f>
        <v/>
      </c>
      <c r="X9">
        <f>VLOOKUP(A9,Participants!$A$2:$B$86,2,FALSE)</f>
        <v/>
      </c>
    </row>
    <row r="10">
      <c r="A10" t="inlineStr">
        <is>
          <t>user_0009</t>
        </is>
      </c>
      <c r="B10" t="n">
        <v>4.5</v>
      </c>
      <c r="C10" t="n">
        <v>2</v>
      </c>
      <c r="D10" t="n">
        <v>4</v>
      </c>
      <c r="E10" t="n">
        <v>3</v>
      </c>
      <c r="F10" t="n">
        <v>4</v>
      </c>
      <c r="G10" t="n">
        <v>2</v>
      </c>
      <c r="H10" t="n">
        <v>3.5</v>
      </c>
      <c r="I10" t="n">
        <v>2</v>
      </c>
      <c r="J10" t="n">
        <v>4</v>
      </c>
      <c r="K10" t="n">
        <v>2</v>
      </c>
      <c r="L10">
        <f>B10-1</f>
        <v/>
      </c>
      <c r="M10">
        <f>5-C10</f>
        <v/>
      </c>
      <c r="N10">
        <f>D10-1</f>
        <v/>
      </c>
      <c r="O10">
        <f>5-E10</f>
        <v/>
      </c>
      <c r="P10">
        <f>F10-1</f>
        <v/>
      </c>
      <c r="Q10">
        <f>5-G10</f>
        <v/>
      </c>
      <c r="R10">
        <f>H10-1</f>
        <v/>
      </c>
      <c r="S10">
        <f>5-I10</f>
        <v/>
      </c>
      <c r="T10">
        <f>J10-1</f>
        <v/>
      </c>
      <c r="U10">
        <f>5-K10</f>
        <v/>
      </c>
      <c r="V10">
        <f>SUM(L10:U10)</f>
        <v/>
      </c>
      <c r="W10">
        <f>V10*2.5</f>
        <v/>
      </c>
      <c r="X10">
        <f>VLOOKUP(A10,Participants!$A$2:$B$86,2,FALSE)</f>
        <v/>
      </c>
    </row>
    <row r="11">
      <c r="A11" t="inlineStr">
        <is>
          <t>user_0010</t>
        </is>
      </c>
      <c r="B11" t="n">
        <v>4.5</v>
      </c>
      <c r="C11" t="n">
        <v>5</v>
      </c>
      <c r="D11" t="n">
        <v>4.5</v>
      </c>
      <c r="E11" t="n">
        <v>3</v>
      </c>
      <c r="F11" t="n">
        <v>4.5</v>
      </c>
      <c r="G11" t="n">
        <v>1.5</v>
      </c>
      <c r="H11" t="n">
        <v>3</v>
      </c>
      <c r="I11" t="n">
        <v>1.5</v>
      </c>
      <c r="J11" t="n">
        <v>3.5</v>
      </c>
      <c r="K11" t="n">
        <v>2.5</v>
      </c>
      <c r="L11">
        <f>B11-1</f>
        <v/>
      </c>
      <c r="M11">
        <f>5-C11</f>
        <v/>
      </c>
      <c r="N11">
        <f>D11-1</f>
        <v/>
      </c>
      <c r="O11">
        <f>5-E11</f>
        <v/>
      </c>
      <c r="P11">
        <f>F11-1</f>
        <v/>
      </c>
      <c r="Q11">
        <f>5-G11</f>
        <v/>
      </c>
      <c r="R11">
        <f>H11-1</f>
        <v/>
      </c>
      <c r="S11">
        <f>5-I11</f>
        <v/>
      </c>
      <c r="T11">
        <f>J11-1</f>
        <v/>
      </c>
      <c r="U11">
        <f>5-K11</f>
        <v/>
      </c>
      <c r="V11">
        <f>SUM(L11:U11)</f>
        <v/>
      </c>
      <c r="W11">
        <f>V11*2.5</f>
        <v/>
      </c>
      <c r="X11">
        <f>VLOOKUP(A11,Participants!$A$2:$B$86,2,FALSE)</f>
        <v/>
      </c>
    </row>
    <row r="12">
      <c r="A12" t="inlineStr">
        <is>
          <t>user_0011</t>
        </is>
      </c>
      <c r="B12" t="n">
        <v>4</v>
      </c>
      <c r="C12" t="n">
        <v>2</v>
      </c>
      <c r="D12" t="n">
        <v>4.5</v>
      </c>
      <c r="E12" t="n">
        <v>3</v>
      </c>
      <c r="F12" t="n">
        <v>4</v>
      </c>
      <c r="G12" t="n">
        <v>2.5</v>
      </c>
      <c r="H12" t="n">
        <v>3.5</v>
      </c>
      <c r="I12" t="n">
        <v>4</v>
      </c>
      <c r="J12" t="n">
        <v>4</v>
      </c>
      <c r="K12" t="n">
        <v>2</v>
      </c>
      <c r="L12">
        <f>B12-1</f>
        <v/>
      </c>
      <c r="M12">
        <f>5-C12</f>
        <v/>
      </c>
      <c r="N12">
        <f>D12-1</f>
        <v/>
      </c>
      <c r="O12">
        <f>5-E12</f>
        <v/>
      </c>
      <c r="P12">
        <f>F12-1</f>
        <v/>
      </c>
      <c r="Q12">
        <f>5-G12</f>
        <v/>
      </c>
      <c r="R12">
        <f>H12-1</f>
        <v/>
      </c>
      <c r="S12">
        <f>5-I12</f>
        <v/>
      </c>
      <c r="T12">
        <f>J12-1</f>
        <v/>
      </c>
      <c r="U12">
        <f>5-K12</f>
        <v/>
      </c>
      <c r="V12">
        <f>SUM(L12:U12)</f>
        <v/>
      </c>
      <c r="W12">
        <f>V12*2.5</f>
        <v/>
      </c>
      <c r="X12">
        <f>VLOOKUP(A12,Participants!$A$2:$B$86,2,FALSE)</f>
        <v/>
      </c>
    </row>
    <row r="13">
      <c r="A13" t="inlineStr">
        <is>
          <t>user_0013</t>
        </is>
      </c>
      <c r="B13" t="n">
        <v>4</v>
      </c>
      <c r="C13" t="n">
        <v>3.5</v>
      </c>
      <c r="D13" t="n">
        <v>3</v>
      </c>
      <c r="E13" t="n">
        <v>1.5</v>
      </c>
      <c r="F13" t="n">
        <v>2.5</v>
      </c>
      <c r="G13" t="n">
        <v>2.5</v>
      </c>
      <c r="H13" t="n">
        <v>2</v>
      </c>
      <c r="I13" t="n">
        <v>3.5</v>
      </c>
      <c r="J13" t="n">
        <v>3.5</v>
      </c>
      <c r="K13" t="n">
        <v>1.5</v>
      </c>
      <c r="L13">
        <f>B13-1</f>
        <v/>
      </c>
      <c r="M13">
        <f>5-C13</f>
        <v/>
      </c>
      <c r="N13">
        <f>D13-1</f>
        <v/>
      </c>
      <c r="O13">
        <f>5-E13</f>
        <v/>
      </c>
      <c r="P13">
        <f>F13-1</f>
        <v/>
      </c>
      <c r="Q13">
        <f>5-G13</f>
        <v/>
      </c>
      <c r="R13">
        <f>H13-1</f>
        <v/>
      </c>
      <c r="S13">
        <f>5-I13</f>
        <v/>
      </c>
      <c r="T13">
        <f>J13-1</f>
        <v/>
      </c>
      <c r="U13">
        <f>5-K13</f>
        <v/>
      </c>
      <c r="V13">
        <f>SUM(L13:U13)</f>
        <v/>
      </c>
      <c r="W13">
        <f>V13*2.5</f>
        <v/>
      </c>
      <c r="X13">
        <f>VLOOKUP(A13,Participants!$A$2:$B$86,2,FALSE)</f>
        <v/>
      </c>
    </row>
    <row r="14">
      <c r="A14" t="inlineStr">
        <is>
          <t>user_0015</t>
        </is>
      </c>
      <c r="B14" t="n">
        <v>3</v>
      </c>
      <c r="C14" t="n">
        <v>1.5</v>
      </c>
      <c r="D14" t="n">
        <v>3.5</v>
      </c>
      <c r="E14" t="n">
        <v>3.5</v>
      </c>
      <c r="F14" t="n">
        <v>4.5</v>
      </c>
      <c r="G14" t="n">
        <v>1.5</v>
      </c>
      <c r="H14" t="n">
        <v>3.5</v>
      </c>
      <c r="I14" t="n">
        <v>1</v>
      </c>
      <c r="J14" t="n">
        <v>4.5</v>
      </c>
      <c r="K14" t="n">
        <v>1</v>
      </c>
      <c r="L14">
        <f>B14-1</f>
        <v/>
      </c>
      <c r="M14">
        <f>5-C14</f>
        <v/>
      </c>
      <c r="N14">
        <f>D14-1</f>
        <v/>
      </c>
      <c r="O14">
        <f>5-E14</f>
        <v/>
      </c>
      <c r="P14">
        <f>F14-1</f>
        <v/>
      </c>
      <c r="Q14">
        <f>5-G14</f>
        <v/>
      </c>
      <c r="R14">
        <f>H14-1</f>
        <v/>
      </c>
      <c r="S14">
        <f>5-I14</f>
        <v/>
      </c>
      <c r="T14">
        <f>J14-1</f>
        <v/>
      </c>
      <c r="U14">
        <f>5-K14</f>
        <v/>
      </c>
      <c r="V14">
        <f>SUM(L14:U14)</f>
        <v/>
      </c>
      <c r="W14">
        <f>V14*2.5</f>
        <v/>
      </c>
      <c r="X14">
        <f>VLOOKUP(A14,Participants!$A$2:$B$86,2,FALSE)</f>
        <v/>
      </c>
    </row>
    <row r="15">
      <c r="A15" t="inlineStr">
        <is>
          <t>user_0016</t>
        </is>
      </c>
      <c r="B15" t="n">
        <v>2.5</v>
      </c>
      <c r="C15" t="n">
        <v>2</v>
      </c>
      <c r="D15" t="n">
        <v>3</v>
      </c>
      <c r="E15" t="n">
        <v>2.5</v>
      </c>
      <c r="F15" t="n">
        <v>3</v>
      </c>
      <c r="G15" t="n">
        <v>1.5</v>
      </c>
      <c r="H15" t="n">
        <v>2</v>
      </c>
      <c r="I15" t="n">
        <v>2.5</v>
      </c>
      <c r="J15" t="n">
        <v>2.5</v>
      </c>
      <c r="K15" t="n">
        <v>1.5</v>
      </c>
      <c r="L15">
        <f>B15-1</f>
        <v/>
      </c>
      <c r="M15">
        <f>5-C15</f>
        <v/>
      </c>
      <c r="N15">
        <f>D15-1</f>
        <v/>
      </c>
      <c r="O15">
        <f>5-E15</f>
        <v/>
      </c>
      <c r="P15">
        <f>F15-1</f>
        <v/>
      </c>
      <c r="Q15">
        <f>5-G15</f>
        <v/>
      </c>
      <c r="R15">
        <f>H15-1</f>
        <v/>
      </c>
      <c r="S15">
        <f>5-I15</f>
        <v/>
      </c>
      <c r="T15">
        <f>J15-1</f>
        <v/>
      </c>
      <c r="U15">
        <f>5-K15</f>
        <v/>
      </c>
      <c r="V15">
        <f>SUM(L15:U15)</f>
        <v/>
      </c>
      <c r="W15">
        <f>V15*2.5</f>
        <v/>
      </c>
      <c r="X15">
        <f>VLOOKUP(A15,Participants!$A$2:$B$86,2,FALSE)</f>
        <v/>
      </c>
    </row>
    <row r="16">
      <c r="A16" t="inlineStr">
        <is>
          <t>user_0017</t>
        </is>
      </c>
      <c r="B16" t="n">
        <v>3.5</v>
      </c>
      <c r="C16" t="n">
        <v>3.5</v>
      </c>
      <c r="D16" t="n">
        <v>3.5</v>
      </c>
      <c r="E16" t="n">
        <v>2.5</v>
      </c>
      <c r="F16" t="n">
        <v>3.5</v>
      </c>
      <c r="G16" t="n">
        <v>2</v>
      </c>
      <c r="H16" t="n">
        <v>3.5</v>
      </c>
      <c r="I16" t="n">
        <v>2.5</v>
      </c>
      <c r="J16" t="n">
        <v>4</v>
      </c>
      <c r="K16" t="n">
        <v>2</v>
      </c>
      <c r="L16">
        <f>B16-1</f>
        <v/>
      </c>
      <c r="M16">
        <f>5-C16</f>
        <v/>
      </c>
      <c r="N16">
        <f>D16-1</f>
        <v/>
      </c>
      <c r="O16">
        <f>5-E16</f>
        <v/>
      </c>
      <c r="P16">
        <f>F16-1</f>
        <v/>
      </c>
      <c r="Q16">
        <f>5-G16</f>
        <v/>
      </c>
      <c r="R16">
        <f>H16-1</f>
        <v/>
      </c>
      <c r="S16">
        <f>5-I16</f>
        <v/>
      </c>
      <c r="T16">
        <f>J16-1</f>
        <v/>
      </c>
      <c r="U16">
        <f>5-K16</f>
        <v/>
      </c>
      <c r="V16">
        <f>SUM(L16:U16)</f>
        <v/>
      </c>
      <c r="W16">
        <f>V16*2.5</f>
        <v/>
      </c>
      <c r="X16">
        <f>VLOOKUP(A16,Participants!$A$2:$B$86,2,FALSE)</f>
        <v/>
      </c>
    </row>
    <row r="17">
      <c r="A17" t="inlineStr">
        <is>
          <t>user_0018</t>
        </is>
      </c>
      <c r="B17" t="n">
        <v>3.5</v>
      </c>
      <c r="C17" t="n">
        <v>2.5</v>
      </c>
      <c r="D17" t="n">
        <v>3.5</v>
      </c>
      <c r="E17" t="n">
        <v>2</v>
      </c>
      <c r="F17" t="n">
        <v>3.5</v>
      </c>
      <c r="G17" t="n">
        <v>2.5</v>
      </c>
      <c r="H17" t="n">
        <v>4</v>
      </c>
      <c r="I17" t="n">
        <v>3</v>
      </c>
      <c r="J17" t="n">
        <v>3</v>
      </c>
      <c r="K17" t="n">
        <v>2.5</v>
      </c>
      <c r="L17">
        <f>B17-1</f>
        <v/>
      </c>
      <c r="M17">
        <f>5-C17</f>
        <v/>
      </c>
      <c r="N17">
        <f>D17-1</f>
        <v/>
      </c>
      <c r="O17">
        <f>5-E17</f>
        <v/>
      </c>
      <c r="P17">
        <f>F17-1</f>
        <v/>
      </c>
      <c r="Q17">
        <f>5-G17</f>
        <v/>
      </c>
      <c r="R17">
        <f>H17-1</f>
        <v/>
      </c>
      <c r="S17">
        <f>5-I17</f>
        <v/>
      </c>
      <c r="T17">
        <f>J17-1</f>
        <v/>
      </c>
      <c r="U17">
        <f>5-K17</f>
        <v/>
      </c>
      <c r="V17">
        <f>SUM(L17:U17)</f>
        <v/>
      </c>
      <c r="W17">
        <f>V17*2.5</f>
        <v/>
      </c>
      <c r="X17">
        <f>VLOOKUP(A17,Participants!$A$2:$B$86,2,FALSE)</f>
        <v/>
      </c>
    </row>
    <row r="18">
      <c r="A18" t="inlineStr">
        <is>
          <t>user_0019</t>
        </is>
      </c>
      <c r="B18" t="n">
        <v>2.5</v>
      </c>
      <c r="C18" t="n">
        <v>2.5</v>
      </c>
      <c r="D18" t="n">
        <v>4</v>
      </c>
      <c r="E18" t="n">
        <v>2.5</v>
      </c>
      <c r="F18" t="n">
        <v>4</v>
      </c>
      <c r="G18" t="n">
        <v>2.5</v>
      </c>
      <c r="H18" t="n">
        <v>4.5</v>
      </c>
      <c r="I18" t="n">
        <v>2.5</v>
      </c>
      <c r="J18" t="n">
        <v>4.5</v>
      </c>
      <c r="K18" t="n">
        <v>1.5</v>
      </c>
      <c r="L18">
        <f>B18-1</f>
        <v/>
      </c>
      <c r="M18">
        <f>5-C18</f>
        <v/>
      </c>
      <c r="N18">
        <f>D18-1</f>
        <v/>
      </c>
      <c r="O18">
        <f>5-E18</f>
        <v/>
      </c>
      <c r="P18">
        <f>F18-1</f>
        <v/>
      </c>
      <c r="Q18">
        <f>5-G18</f>
        <v/>
      </c>
      <c r="R18">
        <f>H18-1</f>
        <v/>
      </c>
      <c r="S18">
        <f>5-I18</f>
        <v/>
      </c>
      <c r="T18">
        <f>J18-1</f>
        <v/>
      </c>
      <c r="U18">
        <f>5-K18</f>
        <v/>
      </c>
      <c r="V18">
        <f>SUM(L18:U18)</f>
        <v/>
      </c>
      <c r="W18">
        <f>V18*2.5</f>
        <v/>
      </c>
      <c r="X18">
        <f>VLOOKUP(A18,Participants!$A$2:$B$86,2,FALSE)</f>
        <v/>
      </c>
    </row>
    <row r="19">
      <c r="A19" t="inlineStr">
        <is>
          <t>user_0020</t>
        </is>
      </c>
      <c r="B19" t="n">
        <v>4</v>
      </c>
      <c r="C19" t="n">
        <v>1.5</v>
      </c>
      <c r="D19" t="n">
        <v>4</v>
      </c>
      <c r="E19" t="n">
        <v>2</v>
      </c>
      <c r="F19" t="n">
        <v>3.5</v>
      </c>
      <c r="G19" t="n">
        <v>2</v>
      </c>
      <c r="H19" t="n">
        <v>4</v>
      </c>
      <c r="I19" t="n">
        <v>2.5</v>
      </c>
      <c r="J19" t="n">
        <v>3.5</v>
      </c>
      <c r="K19" t="n">
        <v>1.5</v>
      </c>
      <c r="L19">
        <f>B19-1</f>
        <v/>
      </c>
      <c r="M19">
        <f>5-C19</f>
        <v/>
      </c>
      <c r="N19">
        <f>D19-1</f>
        <v/>
      </c>
      <c r="O19">
        <f>5-E19</f>
        <v/>
      </c>
      <c r="P19">
        <f>F19-1</f>
        <v/>
      </c>
      <c r="Q19">
        <f>5-G19</f>
        <v/>
      </c>
      <c r="R19">
        <f>H19-1</f>
        <v/>
      </c>
      <c r="S19">
        <f>5-I19</f>
        <v/>
      </c>
      <c r="T19">
        <f>J19-1</f>
        <v/>
      </c>
      <c r="U19">
        <f>5-K19</f>
        <v/>
      </c>
      <c r="V19">
        <f>SUM(L19:U19)</f>
        <v/>
      </c>
      <c r="W19">
        <f>V19*2.5</f>
        <v/>
      </c>
      <c r="X19">
        <f>VLOOKUP(A19,Participants!$A$2:$B$86,2,FALSE)</f>
        <v/>
      </c>
    </row>
    <row r="20">
      <c r="A20" t="inlineStr">
        <is>
          <t>user_0021</t>
        </is>
      </c>
      <c r="B20" t="n">
        <v>4</v>
      </c>
      <c r="C20" t="n">
        <v>2</v>
      </c>
      <c r="D20" t="n">
        <v>4</v>
      </c>
      <c r="E20" t="n">
        <v>2</v>
      </c>
      <c r="F20" t="n">
        <v>4</v>
      </c>
      <c r="G20" t="n">
        <v>2</v>
      </c>
      <c r="H20" t="n">
        <v>3</v>
      </c>
      <c r="I20" t="n">
        <v>2</v>
      </c>
      <c r="J20" t="n">
        <v>3.5</v>
      </c>
      <c r="K20" t="n">
        <v>2.5</v>
      </c>
      <c r="L20">
        <f>B20-1</f>
        <v/>
      </c>
      <c r="M20">
        <f>5-C20</f>
        <v/>
      </c>
      <c r="N20">
        <f>D20-1</f>
        <v/>
      </c>
      <c r="O20">
        <f>5-E20</f>
        <v/>
      </c>
      <c r="P20">
        <f>F20-1</f>
        <v/>
      </c>
      <c r="Q20">
        <f>5-G20</f>
        <v/>
      </c>
      <c r="R20">
        <f>H20-1</f>
        <v/>
      </c>
      <c r="S20">
        <f>5-I20</f>
        <v/>
      </c>
      <c r="T20">
        <f>J20-1</f>
        <v/>
      </c>
      <c r="U20">
        <f>5-K20</f>
        <v/>
      </c>
      <c r="V20">
        <f>SUM(L20:U20)</f>
        <v/>
      </c>
      <c r="W20">
        <f>V20*2.5</f>
        <v/>
      </c>
      <c r="X20">
        <f>VLOOKUP(A20,Participants!$A$2:$B$86,2,FALSE)</f>
        <v/>
      </c>
    </row>
    <row r="21">
      <c r="A21" t="inlineStr">
        <is>
          <t>user_0022</t>
        </is>
      </c>
      <c r="B21" t="n">
        <v>3</v>
      </c>
      <c r="C21" t="n">
        <v>3</v>
      </c>
      <c r="D21" t="n">
        <v>2.5</v>
      </c>
      <c r="E21" t="n">
        <v>1</v>
      </c>
      <c r="F21" t="n">
        <v>2</v>
      </c>
      <c r="G21" t="n">
        <v>2</v>
      </c>
      <c r="H21" t="n">
        <v>2</v>
      </c>
      <c r="I21" t="n">
        <v>3.5</v>
      </c>
      <c r="J21" t="n">
        <v>2.5</v>
      </c>
      <c r="K21" t="n">
        <v>1</v>
      </c>
      <c r="L21">
        <f>B21-1</f>
        <v/>
      </c>
      <c r="M21">
        <f>5-C21</f>
        <v/>
      </c>
      <c r="N21">
        <f>D21-1</f>
        <v/>
      </c>
      <c r="O21">
        <f>5-E21</f>
        <v/>
      </c>
      <c r="P21">
        <f>F21-1</f>
        <v/>
      </c>
      <c r="Q21">
        <f>5-G21</f>
        <v/>
      </c>
      <c r="R21">
        <f>H21-1</f>
        <v/>
      </c>
      <c r="S21">
        <f>5-I21</f>
        <v/>
      </c>
      <c r="T21">
        <f>J21-1</f>
        <v/>
      </c>
      <c r="U21">
        <f>5-K21</f>
        <v/>
      </c>
      <c r="V21">
        <f>SUM(L21:U21)</f>
        <v/>
      </c>
      <c r="W21">
        <f>V21*2.5</f>
        <v/>
      </c>
      <c r="X21">
        <f>VLOOKUP(A21,Participants!$A$2:$B$86,2,FALSE)</f>
        <v/>
      </c>
    </row>
    <row r="22">
      <c r="A22" t="inlineStr">
        <is>
          <t>user_0023</t>
        </is>
      </c>
      <c r="B22" t="n">
        <v>5</v>
      </c>
      <c r="C22" t="n">
        <v>2</v>
      </c>
      <c r="D22" t="n">
        <v>4</v>
      </c>
      <c r="E22" t="n">
        <v>1</v>
      </c>
      <c r="F22" t="n">
        <v>4</v>
      </c>
      <c r="G22" t="n">
        <v>1.5</v>
      </c>
      <c r="H22" t="n">
        <v>4.5</v>
      </c>
      <c r="I22" t="n">
        <v>1.5</v>
      </c>
      <c r="J22" t="n">
        <v>5</v>
      </c>
      <c r="K22" t="n">
        <v>3</v>
      </c>
      <c r="L22">
        <f>B22-1</f>
        <v/>
      </c>
      <c r="M22">
        <f>5-C22</f>
        <v/>
      </c>
      <c r="N22">
        <f>D22-1</f>
        <v/>
      </c>
      <c r="O22">
        <f>5-E22</f>
        <v/>
      </c>
      <c r="P22">
        <f>F22-1</f>
        <v/>
      </c>
      <c r="Q22">
        <f>5-G22</f>
        <v/>
      </c>
      <c r="R22">
        <f>H22-1</f>
        <v/>
      </c>
      <c r="S22">
        <f>5-I22</f>
        <v/>
      </c>
      <c r="T22">
        <f>J22-1</f>
        <v/>
      </c>
      <c r="U22">
        <f>5-K22</f>
        <v/>
      </c>
      <c r="V22">
        <f>SUM(L22:U22)</f>
        <v/>
      </c>
      <c r="W22">
        <f>V22*2.5</f>
        <v/>
      </c>
      <c r="X22">
        <f>VLOOKUP(A22,Participants!$A$2:$B$86,2,FALSE)</f>
        <v/>
      </c>
    </row>
    <row r="23">
      <c r="A23" t="inlineStr">
        <is>
          <t>user_0024</t>
        </is>
      </c>
      <c r="B23" t="n">
        <v>5</v>
      </c>
      <c r="C23" t="n">
        <v>1</v>
      </c>
      <c r="D23" t="n">
        <v>4</v>
      </c>
      <c r="E23" t="n">
        <v>2</v>
      </c>
      <c r="F23" t="n">
        <v>4.5</v>
      </c>
      <c r="G23" t="n">
        <v>1</v>
      </c>
      <c r="H23" t="n">
        <v>4</v>
      </c>
      <c r="I23" t="n">
        <v>1</v>
      </c>
      <c r="J23" t="n">
        <v>4</v>
      </c>
      <c r="K23" t="n">
        <v>2</v>
      </c>
      <c r="L23">
        <f>B23-1</f>
        <v/>
      </c>
      <c r="M23">
        <f>5-C23</f>
        <v/>
      </c>
      <c r="N23">
        <f>D23-1</f>
        <v/>
      </c>
      <c r="O23">
        <f>5-E23</f>
        <v/>
      </c>
      <c r="P23">
        <f>F23-1</f>
        <v/>
      </c>
      <c r="Q23">
        <f>5-G23</f>
        <v/>
      </c>
      <c r="R23">
        <f>H23-1</f>
        <v/>
      </c>
      <c r="S23">
        <f>5-I23</f>
        <v/>
      </c>
      <c r="T23">
        <f>J23-1</f>
        <v/>
      </c>
      <c r="U23">
        <f>5-K23</f>
        <v/>
      </c>
      <c r="V23">
        <f>SUM(L23:U23)</f>
        <v/>
      </c>
      <c r="W23">
        <f>V23*2.5</f>
        <v/>
      </c>
      <c r="X23">
        <f>VLOOKUP(A23,Participants!$A$2:$B$86,2,FALSE)</f>
        <v/>
      </c>
    </row>
    <row r="24">
      <c r="A24" t="inlineStr">
        <is>
          <t>user_0026</t>
        </is>
      </c>
      <c r="B24" t="n">
        <v>4</v>
      </c>
      <c r="C24" t="n">
        <v>3</v>
      </c>
      <c r="D24" t="n">
        <v>2.5</v>
      </c>
      <c r="E24" t="n">
        <v>2</v>
      </c>
      <c r="F24" t="n">
        <v>3</v>
      </c>
      <c r="G24" t="n">
        <v>3.5</v>
      </c>
      <c r="H24" t="n">
        <v>2</v>
      </c>
      <c r="I24" t="n">
        <v>3</v>
      </c>
      <c r="J24" t="n">
        <v>4</v>
      </c>
      <c r="K24" t="n">
        <v>2</v>
      </c>
      <c r="L24">
        <f>B24-1</f>
        <v/>
      </c>
      <c r="M24">
        <f>5-C24</f>
        <v/>
      </c>
      <c r="N24">
        <f>D24-1</f>
        <v/>
      </c>
      <c r="O24">
        <f>5-E24</f>
        <v/>
      </c>
      <c r="P24">
        <f>F24-1</f>
        <v/>
      </c>
      <c r="Q24">
        <f>5-G24</f>
        <v/>
      </c>
      <c r="R24">
        <f>H24-1</f>
        <v/>
      </c>
      <c r="S24">
        <f>5-I24</f>
        <v/>
      </c>
      <c r="T24">
        <f>J24-1</f>
        <v/>
      </c>
      <c r="U24">
        <f>5-K24</f>
        <v/>
      </c>
      <c r="V24">
        <f>SUM(L24:U24)</f>
        <v/>
      </c>
      <c r="W24">
        <f>V24*2.5</f>
        <v/>
      </c>
      <c r="X24">
        <f>VLOOKUP(A24,Participants!$A$2:$B$86,2,FALSE)</f>
        <v/>
      </c>
    </row>
    <row r="25">
      <c r="A25" t="inlineStr">
        <is>
          <t>user_0027</t>
        </is>
      </c>
      <c r="B25" t="n">
        <v>4</v>
      </c>
      <c r="C25" t="n">
        <v>1.5</v>
      </c>
      <c r="D25" t="n">
        <v>5</v>
      </c>
      <c r="E25" t="n">
        <v>1.5</v>
      </c>
      <c r="F25" t="n">
        <v>3</v>
      </c>
      <c r="G25" t="n">
        <v>1</v>
      </c>
      <c r="H25" t="n">
        <v>3</v>
      </c>
      <c r="I25" t="n">
        <v>1.5</v>
      </c>
      <c r="J25" t="n">
        <v>4</v>
      </c>
      <c r="K25" t="n">
        <v>2</v>
      </c>
      <c r="L25">
        <f>B25-1</f>
        <v/>
      </c>
      <c r="M25">
        <f>5-C25</f>
        <v/>
      </c>
      <c r="N25">
        <f>D25-1</f>
        <v/>
      </c>
      <c r="O25">
        <f>5-E25</f>
        <v/>
      </c>
      <c r="P25">
        <f>F25-1</f>
        <v/>
      </c>
      <c r="Q25">
        <f>5-G25</f>
        <v/>
      </c>
      <c r="R25">
        <f>H25-1</f>
        <v/>
      </c>
      <c r="S25">
        <f>5-I25</f>
        <v/>
      </c>
      <c r="T25">
        <f>J25-1</f>
        <v/>
      </c>
      <c r="U25">
        <f>5-K25</f>
        <v/>
      </c>
      <c r="V25">
        <f>SUM(L25:U25)</f>
        <v/>
      </c>
      <c r="W25">
        <f>V25*2.5</f>
        <v/>
      </c>
      <c r="X25">
        <f>VLOOKUP(A25,Participants!$A$2:$B$86,2,FALSE)</f>
        <v/>
      </c>
    </row>
    <row r="26">
      <c r="A26" t="inlineStr">
        <is>
          <t>user_0028</t>
        </is>
      </c>
      <c r="B26" t="n">
        <v>4</v>
      </c>
      <c r="C26" t="n">
        <v>1</v>
      </c>
      <c r="D26" t="n">
        <v>4</v>
      </c>
      <c r="E26" t="n">
        <v>1</v>
      </c>
      <c r="F26" t="n">
        <v>3</v>
      </c>
      <c r="G26" t="n">
        <v>1</v>
      </c>
      <c r="H26" t="n">
        <v>3</v>
      </c>
      <c r="I26" t="n">
        <v>1</v>
      </c>
      <c r="J26" t="n">
        <v>5</v>
      </c>
      <c r="K26" t="n">
        <v>1</v>
      </c>
      <c r="L26">
        <f>B26-1</f>
        <v/>
      </c>
      <c r="M26">
        <f>5-C26</f>
        <v/>
      </c>
      <c r="N26">
        <f>D26-1</f>
        <v/>
      </c>
      <c r="O26">
        <f>5-E26</f>
        <v/>
      </c>
      <c r="P26">
        <f>F26-1</f>
        <v/>
      </c>
      <c r="Q26">
        <f>5-G26</f>
        <v/>
      </c>
      <c r="R26">
        <f>H26-1</f>
        <v/>
      </c>
      <c r="S26">
        <f>5-I26</f>
        <v/>
      </c>
      <c r="T26">
        <f>J26-1</f>
        <v/>
      </c>
      <c r="U26">
        <f>5-K26</f>
        <v/>
      </c>
      <c r="V26">
        <f>SUM(L26:U26)</f>
        <v/>
      </c>
      <c r="W26">
        <f>V26*2.5</f>
        <v/>
      </c>
      <c r="X26">
        <f>VLOOKUP(A26,Participants!$A$2:$B$86,2,FALSE)</f>
        <v/>
      </c>
    </row>
    <row r="27">
      <c r="A27" t="inlineStr">
        <is>
          <t>user_0029</t>
        </is>
      </c>
      <c r="B27" t="n">
        <v>2.5</v>
      </c>
      <c r="C27" t="n">
        <v>1.5</v>
      </c>
      <c r="D27" t="n">
        <v>4.5</v>
      </c>
      <c r="E27" t="n">
        <v>2.5</v>
      </c>
      <c r="F27" t="n">
        <v>4</v>
      </c>
      <c r="G27" t="n">
        <v>2</v>
      </c>
      <c r="H27" t="n">
        <v>2</v>
      </c>
      <c r="I27" t="n">
        <v>2.5</v>
      </c>
      <c r="J27" t="n">
        <v>3</v>
      </c>
      <c r="K27" t="n">
        <v>1</v>
      </c>
      <c r="L27">
        <f>B27-1</f>
        <v/>
      </c>
      <c r="M27">
        <f>5-C27</f>
        <v/>
      </c>
      <c r="N27">
        <f>D27-1</f>
        <v/>
      </c>
      <c r="O27">
        <f>5-E27</f>
        <v/>
      </c>
      <c r="P27">
        <f>F27-1</f>
        <v/>
      </c>
      <c r="Q27">
        <f>5-G27</f>
        <v/>
      </c>
      <c r="R27">
        <f>H27-1</f>
        <v/>
      </c>
      <c r="S27">
        <f>5-I27</f>
        <v/>
      </c>
      <c r="T27">
        <f>J27-1</f>
        <v/>
      </c>
      <c r="U27">
        <f>5-K27</f>
        <v/>
      </c>
      <c r="V27">
        <f>SUM(L27:U27)</f>
        <v/>
      </c>
      <c r="W27">
        <f>V27*2.5</f>
        <v/>
      </c>
      <c r="X27">
        <f>VLOOKUP(A27,Participants!$A$2:$B$86,2,FALSE)</f>
        <v/>
      </c>
    </row>
    <row r="28">
      <c r="A28" t="inlineStr">
        <is>
          <t>user_0031</t>
        </is>
      </c>
      <c r="B28" t="n">
        <v>3</v>
      </c>
      <c r="C28" t="n">
        <v>3</v>
      </c>
      <c r="D28" t="n">
        <v>2</v>
      </c>
      <c r="E28" t="n">
        <v>2</v>
      </c>
      <c r="F28" t="n">
        <v>4</v>
      </c>
      <c r="G28" t="n">
        <v>1</v>
      </c>
      <c r="H28" t="n">
        <v>2</v>
      </c>
      <c r="I28" t="n">
        <v>3</v>
      </c>
      <c r="J28" t="n">
        <v>2</v>
      </c>
      <c r="K28" t="n">
        <v>2</v>
      </c>
      <c r="L28">
        <f>B28-1</f>
        <v/>
      </c>
      <c r="M28">
        <f>5-C28</f>
        <v/>
      </c>
      <c r="N28">
        <f>D28-1</f>
        <v/>
      </c>
      <c r="O28">
        <f>5-E28</f>
        <v/>
      </c>
      <c r="P28">
        <f>F28-1</f>
        <v/>
      </c>
      <c r="Q28">
        <f>5-G28</f>
        <v/>
      </c>
      <c r="R28">
        <f>H28-1</f>
        <v/>
      </c>
      <c r="S28">
        <f>5-I28</f>
        <v/>
      </c>
      <c r="T28">
        <f>J28-1</f>
        <v/>
      </c>
      <c r="U28">
        <f>5-K28</f>
        <v/>
      </c>
      <c r="V28">
        <f>SUM(L28:U28)</f>
        <v/>
      </c>
      <c r="W28">
        <f>V28*2.5</f>
        <v/>
      </c>
      <c r="X28">
        <f>VLOOKUP(A28,Participants!$A$2:$B$86,2,FALSE)</f>
        <v/>
      </c>
    </row>
    <row r="29">
      <c r="A29" t="inlineStr">
        <is>
          <t>user_0032</t>
        </is>
      </c>
      <c r="B29" t="n">
        <v>3</v>
      </c>
      <c r="C29" t="n">
        <v>3</v>
      </c>
      <c r="D29" t="n">
        <v>3</v>
      </c>
      <c r="E29" t="n">
        <v>4</v>
      </c>
      <c r="F29" t="n">
        <v>4</v>
      </c>
      <c r="G29" t="n">
        <v>2</v>
      </c>
      <c r="H29" t="n">
        <v>3</v>
      </c>
      <c r="I29" t="n">
        <v>2</v>
      </c>
      <c r="J29" t="n">
        <v>1</v>
      </c>
      <c r="K29" t="n">
        <v>1</v>
      </c>
      <c r="L29">
        <f>B29-1</f>
        <v/>
      </c>
      <c r="M29">
        <f>5-C29</f>
        <v/>
      </c>
      <c r="N29">
        <f>D29-1</f>
        <v/>
      </c>
      <c r="O29">
        <f>5-E29</f>
        <v/>
      </c>
      <c r="P29">
        <f>F29-1</f>
        <v/>
      </c>
      <c r="Q29">
        <f>5-G29</f>
        <v/>
      </c>
      <c r="R29">
        <f>H29-1</f>
        <v/>
      </c>
      <c r="S29">
        <f>5-I29</f>
        <v/>
      </c>
      <c r="T29">
        <f>J29-1</f>
        <v/>
      </c>
      <c r="U29">
        <f>5-K29</f>
        <v/>
      </c>
      <c r="V29">
        <f>SUM(L29:U29)</f>
        <v/>
      </c>
      <c r="W29">
        <f>V29*2.5</f>
        <v/>
      </c>
      <c r="X29">
        <f>VLOOKUP(A29,Participants!$A$2:$B$86,2,FALSE)</f>
        <v/>
      </c>
    </row>
    <row r="30">
      <c r="A30" t="inlineStr">
        <is>
          <t>user_0033</t>
        </is>
      </c>
      <c r="B30" t="n">
        <v>2</v>
      </c>
      <c r="C30" t="n">
        <v>2</v>
      </c>
      <c r="D30" t="n">
        <v>4</v>
      </c>
      <c r="E30" t="n">
        <v>2</v>
      </c>
      <c r="F30" t="n">
        <v>4</v>
      </c>
      <c r="G30" t="n">
        <v>2</v>
      </c>
      <c r="H30" t="n">
        <v>4</v>
      </c>
      <c r="I30" t="n">
        <v>3</v>
      </c>
      <c r="J30" t="n">
        <v>5</v>
      </c>
      <c r="K30" t="n">
        <v>3</v>
      </c>
      <c r="L30">
        <f>B30-1</f>
        <v/>
      </c>
      <c r="M30">
        <f>5-C30</f>
        <v/>
      </c>
      <c r="N30">
        <f>D30-1</f>
        <v/>
      </c>
      <c r="O30">
        <f>5-E30</f>
        <v/>
      </c>
      <c r="P30">
        <f>F30-1</f>
        <v/>
      </c>
      <c r="Q30">
        <f>5-G30</f>
        <v/>
      </c>
      <c r="R30">
        <f>H30-1</f>
        <v/>
      </c>
      <c r="S30">
        <f>5-I30</f>
        <v/>
      </c>
      <c r="T30">
        <f>J30-1</f>
        <v/>
      </c>
      <c r="U30">
        <f>5-K30</f>
        <v/>
      </c>
      <c r="V30">
        <f>SUM(L30:U30)</f>
        <v/>
      </c>
      <c r="W30">
        <f>V30*2.5</f>
        <v/>
      </c>
      <c r="X30">
        <f>VLOOKUP(A30,Participants!$A$2:$B$86,2,FALSE)</f>
        <v/>
      </c>
    </row>
    <row r="31">
      <c r="A31" t="inlineStr">
        <is>
          <t>user_0034</t>
        </is>
      </c>
      <c r="B31" t="n">
        <v>3</v>
      </c>
      <c r="C31" t="n">
        <v>1</v>
      </c>
      <c r="D31" t="n">
        <v>5</v>
      </c>
      <c r="E31" t="n">
        <v>1</v>
      </c>
      <c r="F31" t="n">
        <v>5</v>
      </c>
      <c r="G31" t="n">
        <v>1</v>
      </c>
      <c r="H31" t="n">
        <v>5</v>
      </c>
      <c r="I31" t="n">
        <v>1</v>
      </c>
      <c r="J31" t="n">
        <v>5</v>
      </c>
      <c r="K31" t="n">
        <v>1</v>
      </c>
      <c r="L31">
        <f>B31-1</f>
        <v/>
      </c>
      <c r="M31">
        <f>5-C31</f>
        <v/>
      </c>
      <c r="N31">
        <f>D31-1</f>
        <v/>
      </c>
      <c r="O31">
        <f>5-E31</f>
        <v/>
      </c>
      <c r="P31">
        <f>F31-1</f>
        <v/>
      </c>
      <c r="Q31">
        <f>5-G31</f>
        <v/>
      </c>
      <c r="R31">
        <f>H31-1</f>
        <v/>
      </c>
      <c r="S31">
        <f>5-I31</f>
        <v/>
      </c>
      <c r="T31">
        <f>J31-1</f>
        <v/>
      </c>
      <c r="U31">
        <f>5-K31</f>
        <v/>
      </c>
      <c r="V31">
        <f>SUM(L31:U31)</f>
        <v/>
      </c>
      <c r="W31">
        <f>V31*2.5</f>
        <v/>
      </c>
      <c r="X31">
        <f>VLOOKUP(A31,Participants!$A$2:$B$86,2,FALSE)</f>
        <v/>
      </c>
    </row>
    <row r="32">
      <c r="A32" t="inlineStr">
        <is>
          <t>user_0037</t>
        </is>
      </c>
      <c r="B32" t="n">
        <v>5</v>
      </c>
      <c r="C32" t="n">
        <v>1</v>
      </c>
      <c r="D32" t="n">
        <v>4.5</v>
      </c>
      <c r="E32" t="n">
        <v>1</v>
      </c>
      <c r="F32" t="n">
        <v>5</v>
      </c>
      <c r="G32" t="n">
        <v>1</v>
      </c>
      <c r="H32" t="n">
        <v>5</v>
      </c>
      <c r="I32" t="n">
        <v>1.5</v>
      </c>
      <c r="J32" t="n">
        <v>5</v>
      </c>
      <c r="K32" t="n">
        <v>1.5</v>
      </c>
      <c r="L32">
        <f>B32-1</f>
        <v/>
      </c>
      <c r="M32">
        <f>5-C32</f>
        <v/>
      </c>
      <c r="N32">
        <f>D32-1</f>
        <v/>
      </c>
      <c r="O32">
        <f>5-E32</f>
        <v/>
      </c>
      <c r="P32">
        <f>F32-1</f>
        <v/>
      </c>
      <c r="Q32">
        <f>5-G32</f>
        <v/>
      </c>
      <c r="R32">
        <f>H32-1</f>
        <v/>
      </c>
      <c r="S32">
        <f>5-I32</f>
        <v/>
      </c>
      <c r="T32">
        <f>J32-1</f>
        <v/>
      </c>
      <c r="U32">
        <f>5-K32</f>
        <v/>
      </c>
      <c r="V32">
        <f>SUM(L32:U32)</f>
        <v/>
      </c>
      <c r="W32">
        <f>V32*2.5</f>
        <v/>
      </c>
      <c r="X32">
        <f>VLOOKUP(A32,Participants!$A$2:$B$86,2,FALSE)</f>
        <v/>
      </c>
    </row>
    <row r="33">
      <c r="A33" t="inlineStr">
        <is>
          <t>user_0039</t>
        </is>
      </c>
      <c r="B33" t="n">
        <v>3</v>
      </c>
      <c r="C33" t="n">
        <v>3</v>
      </c>
      <c r="D33" t="n">
        <v>3</v>
      </c>
      <c r="E33" t="n">
        <v>3</v>
      </c>
      <c r="F33" t="n">
        <v>3</v>
      </c>
      <c r="G33" t="n">
        <v>3</v>
      </c>
      <c r="H33" t="n">
        <v>3</v>
      </c>
      <c r="I33" t="n">
        <v>3</v>
      </c>
      <c r="J33" t="n">
        <v>3</v>
      </c>
      <c r="K33" t="n">
        <v>3</v>
      </c>
      <c r="L33">
        <f>B33-1</f>
        <v/>
      </c>
      <c r="M33">
        <f>5-C33</f>
        <v/>
      </c>
      <c r="N33">
        <f>D33-1</f>
        <v/>
      </c>
      <c r="O33">
        <f>5-E33</f>
        <v/>
      </c>
      <c r="P33">
        <f>F33-1</f>
        <v/>
      </c>
      <c r="Q33">
        <f>5-G33</f>
        <v/>
      </c>
      <c r="R33">
        <f>H33-1</f>
        <v/>
      </c>
      <c r="S33">
        <f>5-I33</f>
        <v/>
      </c>
      <c r="T33">
        <f>J33-1</f>
        <v/>
      </c>
      <c r="U33">
        <f>5-K33</f>
        <v/>
      </c>
      <c r="V33">
        <f>SUM(L33:U33)</f>
        <v/>
      </c>
      <c r="W33">
        <f>V33*2.5</f>
        <v/>
      </c>
      <c r="X33">
        <f>VLOOKUP(A33,Participants!$A$2:$B$86,2,FALSE)</f>
        <v/>
      </c>
    </row>
    <row r="34">
      <c r="A34" t="inlineStr">
        <is>
          <t>user_0042</t>
        </is>
      </c>
      <c r="B34" t="n">
        <v>4.5</v>
      </c>
      <c r="C34" t="n">
        <v>2.5</v>
      </c>
      <c r="D34" t="n">
        <v>3</v>
      </c>
      <c r="E34" t="n">
        <v>4</v>
      </c>
      <c r="F34" t="n">
        <v>3.5</v>
      </c>
      <c r="G34" t="n">
        <v>2</v>
      </c>
      <c r="H34" t="n">
        <v>3.5</v>
      </c>
      <c r="I34" t="n">
        <v>2</v>
      </c>
      <c r="J34" t="n">
        <v>3.5</v>
      </c>
      <c r="K34" t="n">
        <v>1.5</v>
      </c>
      <c r="L34">
        <f>B34-1</f>
        <v/>
      </c>
      <c r="M34">
        <f>5-C34</f>
        <v/>
      </c>
      <c r="N34">
        <f>D34-1</f>
        <v/>
      </c>
      <c r="O34">
        <f>5-E34</f>
        <v/>
      </c>
      <c r="P34">
        <f>F34-1</f>
        <v/>
      </c>
      <c r="Q34">
        <f>5-G34</f>
        <v/>
      </c>
      <c r="R34">
        <f>H34-1</f>
        <v/>
      </c>
      <c r="S34">
        <f>5-I34</f>
        <v/>
      </c>
      <c r="T34">
        <f>J34-1</f>
        <v/>
      </c>
      <c r="U34">
        <f>5-K34</f>
        <v/>
      </c>
      <c r="V34">
        <f>SUM(L34:U34)</f>
        <v/>
      </c>
      <c r="W34">
        <f>V34*2.5</f>
        <v/>
      </c>
      <c r="X34">
        <f>VLOOKUP(A34,Participants!$A$2:$B$86,2,FALSE)</f>
        <v/>
      </c>
    </row>
    <row r="35">
      <c r="A35" t="inlineStr">
        <is>
          <t>user_0043</t>
        </is>
      </c>
      <c r="B35" t="n">
        <v>4.5</v>
      </c>
      <c r="C35" t="n">
        <v>3.5</v>
      </c>
      <c r="D35" t="n">
        <v>4.5</v>
      </c>
      <c r="E35" t="n">
        <v>1</v>
      </c>
      <c r="F35" t="n">
        <v>4.5</v>
      </c>
      <c r="G35" t="n">
        <v>1.5</v>
      </c>
      <c r="H35" t="n">
        <v>4.5</v>
      </c>
      <c r="I35" t="n">
        <v>2</v>
      </c>
      <c r="J35" t="n">
        <v>4</v>
      </c>
      <c r="K35" t="n">
        <v>2</v>
      </c>
      <c r="L35">
        <f>B35-1</f>
        <v/>
      </c>
      <c r="M35">
        <f>5-C35</f>
        <v/>
      </c>
      <c r="N35">
        <f>D35-1</f>
        <v/>
      </c>
      <c r="O35">
        <f>5-E35</f>
        <v/>
      </c>
      <c r="P35">
        <f>F35-1</f>
        <v/>
      </c>
      <c r="Q35">
        <f>5-G35</f>
        <v/>
      </c>
      <c r="R35">
        <f>H35-1</f>
        <v/>
      </c>
      <c r="S35">
        <f>5-I35</f>
        <v/>
      </c>
      <c r="T35">
        <f>J35-1</f>
        <v/>
      </c>
      <c r="U35">
        <f>5-K35</f>
        <v/>
      </c>
      <c r="V35">
        <f>SUM(L35:U35)</f>
        <v/>
      </c>
      <c r="W35">
        <f>V35*2.5</f>
        <v/>
      </c>
      <c r="X35">
        <f>VLOOKUP(A35,Participants!$A$2:$B$86,2,FALSE)</f>
        <v/>
      </c>
    </row>
    <row r="36">
      <c r="A36" t="inlineStr">
        <is>
          <t>user_0045</t>
        </is>
      </c>
      <c r="B36" t="n">
        <v>4.5</v>
      </c>
      <c r="C36" t="n">
        <v>1</v>
      </c>
      <c r="D36" t="n">
        <v>5</v>
      </c>
      <c r="E36" t="n">
        <v>1</v>
      </c>
      <c r="F36" t="n">
        <v>5</v>
      </c>
      <c r="G36" t="n">
        <v>1</v>
      </c>
      <c r="H36" t="n">
        <v>5</v>
      </c>
      <c r="I36" t="n">
        <v>1</v>
      </c>
      <c r="J36" t="n">
        <v>5</v>
      </c>
      <c r="K36" t="n">
        <v>2</v>
      </c>
      <c r="L36">
        <f>B36-1</f>
        <v/>
      </c>
      <c r="M36">
        <f>5-C36</f>
        <v/>
      </c>
      <c r="N36">
        <f>D36-1</f>
        <v/>
      </c>
      <c r="O36">
        <f>5-E36</f>
        <v/>
      </c>
      <c r="P36">
        <f>F36-1</f>
        <v/>
      </c>
      <c r="Q36">
        <f>5-G36</f>
        <v/>
      </c>
      <c r="R36">
        <f>H36-1</f>
        <v/>
      </c>
      <c r="S36">
        <f>5-I36</f>
        <v/>
      </c>
      <c r="T36">
        <f>J36-1</f>
        <v/>
      </c>
      <c r="U36">
        <f>5-K36</f>
        <v/>
      </c>
      <c r="V36">
        <f>SUM(L36:U36)</f>
        <v/>
      </c>
      <c r="W36">
        <f>V36*2.5</f>
        <v/>
      </c>
      <c r="X36">
        <f>VLOOKUP(A36,Participants!$A$2:$B$86,2,FALSE)</f>
        <v/>
      </c>
    </row>
    <row r="37">
      <c r="A37" t="inlineStr">
        <is>
          <t>user_0046</t>
        </is>
      </c>
      <c r="B37" t="n">
        <v>3.5</v>
      </c>
      <c r="C37" t="n">
        <v>3</v>
      </c>
      <c r="D37" t="n">
        <v>3</v>
      </c>
      <c r="E37" t="n">
        <v>3.5</v>
      </c>
      <c r="F37" t="n">
        <v>3.5</v>
      </c>
      <c r="G37" t="n">
        <v>2</v>
      </c>
      <c r="H37" t="n">
        <v>2.5</v>
      </c>
      <c r="I37" t="n">
        <v>3.5</v>
      </c>
      <c r="J37" t="n">
        <v>3.5</v>
      </c>
      <c r="K37" t="n">
        <v>2.5</v>
      </c>
      <c r="L37">
        <f>B37-1</f>
        <v/>
      </c>
      <c r="M37">
        <f>5-C37</f>
        <v/>
      </c>
      <c r="N37">
        <f>D37-1</f>
        <v/>
      </c>
      <c r="O37">
        <f>5-E37</f>
        <v/>
      </c>
      <c r="P37">
        <f>F37-1</f>
        <v/>
      </c>
      <c r="Q37">
        <f>5-G37</f>
        <v/>
      </c>
      <c r="R37">
        <f>H37-1</f>
        <v/>
      </c>
      <c r="S37">
        <f>5-I37</f>
        <v/>
      </c>
      <c r="T37">
        <f>J37-1</f>
        <v/>
      </c>
      <c r="U37">
        <f>5-K37</f>
        <v/>
      </c>
      <c r="V37">
        <f>SUM(L37:U37)</f>
        <v/>
      </c>
      <c r="W37">
        <f>V37*2.5</f>
        <v/>
      </c>
      <c r="X37">
        <f>VLOOKUP(A37,Participants!$A$2:$B$86,2,FALSE)</f>
        <v/>
      </c>
    </row>
    <row r="38">
      <c r="A38" t="inlineStr">
        <is>
          <t>user_0047</t>
        </is>
      </c>
      <c r="B38" t="n">
        <v>2.5</v>
      </c>
      <c r="C38" t="n">
        <v>1</v>
      </c>
      <c r="D38" t="n">
        <v>4</v>
      </c>
      <c r="E38" t="n">
        <v>2.5</v>
      </c>
      <c r="F38" t="n">
        <v>3.5</v>
      </c>
      <c r="G38" t="n">
        <v>2</v>
      </c>
      <c r="H38" t="n">
        <v>3</v>
      </c>
      <c r="I38" t="n">
        <v>2</v>
      </c>
      <c r="J38" t="n">
        <v>2.5</v>
      </c>
      <c r="K38" t="n">
        <v>1</v>
      </c>
      <c r="L38">
        <f>B38-1</f>
        <v/>
      </c>
      <c r="M38">
        <f>5-C38</f>
        <v/>
      </c>
      <c r="N38">
        <f>D38-1</f>
        <v/>
      </c>
      <c r="O38">
        <f>5-E38</f>
        <v/>
      </c>
      <c r="P38">
        <f>F38-1</f>
        <v/>
      </c>
      <c r="Q38">
        <f>5-G38</f>
        <v/>
      </c>
      <c r="R38">
        <f>H38-1</f>
        <v/>
      </c>
      <c r="S38">
        <f>5-I38</f>
        <v/>
      </c>
      <c r="T38">
        <f>J38-1</f>
        <v/>
      </c>
      <c r="U38">
        <f>5-K38</f>
        <v/>
      </c>
      <c r="V38">
        <f>SUM(L38:U38)</f>
        <v/>
      </c>
      <c r="W38">
        <f>V38*2.5</f>
        <v/>
      </c>
      <c r="X38">
        <f>VLOOKUP(A38,Participants!$A$2:$B$86,2,FALSE)</f>
        <v/>
      </c>
    </row>
    <row r="39">
      <c r="A39" t="inlineStr">
        <is>
          <t>user_0048</t>
        </is>
      </c>
      <c r="B39" t="n">
        <v>3</v>
      </c>
      <c r="C39" t="n">
        <v>2.5</v>
      </c>
      <c r="D39" t="n">
        <v>3</v>
      </c>
      <c r="E39" t="n">
        <v>2</v>
      </c>
      <c r="F39" t="n">
        <v>3.5</v>
      </c>
      <c r="G39" t="n">
        <v>2.5</v>
      </c>
      <c r="H39" t="n">
        <v>2.5</v>
      </c>
      <c r="I39" t="n">
        <v>2</v>
      </c>
      <c r="J39" t="n">
        <v>2.5</v>
      </c>
      <c r="K39" t="n">
        <v>2.5</v>
      </c>
      <c r="L39">
        <f>B39-1</f>
        <v/>
      </c>
      <c r="M39">
        <f>5-C39</f>
        <v/>
      </c>
      <c r="N39">
        <f>D39-1</f>
        <v/>
      </c>
      <c r="O39">
        <f>5-E39</f>
        <v/>
      </c>
      <c r="P39">
        <f>F39-1</f>
        <v/>
      </c>
      <c r="Q39">
        <f>5-G39</f>
        <v/>
      </c>
      <c r="R39">
        <f>H39-1</f>
        <v/>
      </c>
      <c r="S39">
        <f>5-I39</f>
        <v/>
      </c>
      <c r="T39">
        <f>J39-1</f>
        <v/>
      </c>
      <c r="U39">
        <f>5-K39</f>
        <v/>
      </c>
      <c r="V39">
        <f>SUM(L39:U39)</f>
        <v/>
      </c>
      <c r="W39">
        <f>V39*2.5</f>
        <v/>
      </c>
      <c r="X39">
        <f>VLOOKUP(A39,Participants!$A$2:$B$86,2,FALSE)</f>
        <v/>
      </c>
    </row>
    <row r="40">
      <c r="A40" t="inlineStr">
        <is>
          <t>user_0049</t>
        </is>
      </c>
      <c r="B40" t="n">
        <v>1.5</v>
      </c>
      <c r="C40" t="n">
        <v>3.5</v>
      </c>
      <c r="D40" t="n">
        <v>3</v>
      </c>
      <c r="E40" t="n">
        <v>1.5</v>
      </c>
      <c r="F40" t="n">
        <v>3.5</v>
      </c>
      <c r="G40" t="n">
        <v>2</v>
      </c>
      <c r="H40" t="n">
        <v>2</v>
      </c>
      <c r="I40" t="n">
        <v>3.5</v>
      </c>
      <c r="J40" t="n">
        <v>1.5</v>
      </c>
      <c r="K40" t="n">
        <v>1</v>
      </c>
      <c r="L40">
        <f>B40-1</f>
        <v/>
      </c>
      <c r="M40">
        <f>5-C40</f>
        <v/>
      </c>
      <c r="N40">
        <f>D40-1</f>
        <v/>
      </c>
      <c r="O40">
        <f>5-E40</f>
        <v/>
      </c>
      <c r="P40">
        <f>F40-1</f>
        <v/>
      </c>
      <c r="Q40">
        <f>5-G40</f>
        <v/>
      </c>
      <c r="R40">
        <f>H40-1</f>
        <v/>
      </c>
      <c r="S40">
        <f>5-I40</f>
        <v/>
      </c>
      <c r="T40">
        <f>J40-1</f>
        <v/>
      </c>
      <c r="U40">
        <f>5-K40</f>
        <v/>
      </c>
      <c r="V40">
        <f>SUM(L40:U40)</f>
        <v/>
      </c>
      <c r="W40">
        <f>V40*2.5</f>
        <v/>
      </c>
      <c r="X40">
        <f>VLOOKUP(A40,Participants!$A$2:$B$86,2,FALSE)</f>
        <v/>
      </c>
    </row>
    <row r="41">
      <c r="A41" t="inlineStr">
        <is>
          <t>user_0050</t>
        </is>
      </c>
      <c r="B41" t="n">
        <v>3</v>
      </c>
      <c r="C41" t="n">
        <v>3</v>
      </c>
      <c r="D41" t="n">
        <v>3</v>
      </c>
      <c r="E41" t="n">
        <v>3</v>
      </c>
      <c r="F41" t="n">
        <v>3</v>
      </c>
      <c r="G41" t="n">
        <v>3</v>
      </c>
      <c r="H41" t="n">
        <v>3</v>
      </c>
      <c r="I41" t="n">
        <v>3</v>
      </c>
      <c r="J41" t="n">
        <v>3</v>
      </c>
      <c r="K41" t="n">
        <v>3</v>
      </c>
      <c r="L41">
        <f>B41-1</f>
        <v/>
      </c>
      <c r="M41">
        <f>5-C41</f>
        <v/>
      </c>
      <c r="N41">
        <f>D41-1</f>
        <v/>
      </c>
      <c r="O41">
        <f>5-E41</f>
        <v/>
      </c>
      <c r="P41">
        <f>F41-1</f>
        <v/>
      </c>
      <c r="Q41">
        <f>5-G41</f>
        <v/>
      </c>
      <c r="R41">
        <f>H41-1</f>
        <v/>
      </c>
      <c r="S41">
        <f>5-I41</f>
        <v/>
      </c>
      <c r="T41">
        <f>J41-1</f>
        <v/>
      </c>
      <c r="U41">
        <f>5-K41</f>
        <v/>
      </c>
      <c r="V41">
        <f>SUM(L41:U41)</f>
        <v/>
      </c>
      <c r="W41">
        <f>V41*2.5</f>
        <v/>
      </c>
      <c r="X41">
        <f>VLOOKUP(A41,Participants!$A$2:$B$86,2,FALSE)</f>
        <v/>
      </c>
    </row>
    <row r="42">
      <c r="A42" t="inlineStr">
        <is>
          <t>user_0051</t>
        </is>
      </c>
      <c r="B42" t="n">
        <v>4</v>
      </c>
      <c r="C42" t="n">
        <v>2.5</v>
      </c>
      <c r="D42" t="n">
        <v>4</v>
      </c>
      <c r="E42" t="n">
        <v>3</v>
      </c>
      <c r="F42" t="n">
        <v>3</v>
      </c>
      <c r="G42" t="n">
        <v>3</v>
      </c>
      <c r="H42" t="n">
        <v>3.5</v>
      </c>
      <c r="I42" t="n">
        <v>3</v>
      </c>
      <c r="J42" t="n">
        <v>5</v>
      </c>
      <c r="K42" t="n">
        <v>1.5</v>
      </c>
      <c r="L42">
        <f>B42-1</f>
        <v/>
      </c>
      <c r="M42">
        <f>5-C42</f>
        <v/>
      </c>
      <c r="N42">
        <f>D42-1</f>
        <v/>
      </c>
      <c r="O42">
        <f>5-E42</f>
        <v/>
      </c>
      <c r="P42">
        <f>F42-1</f>
        <v/>
      </c>
      <c r="Q42">
        <f>5-G42</f>
        <v/>
      </c>
      <c r="R42">
        <f>H42-1</f>
        <v/>
      </c>
      <c r="S42">
        <f>5-I42</f>
        <v/>
      </c>
      <c r="T42">
        <f>J42-1</f>
        <v/>
      </c>
      <c r="U42">
        <f>5-K42</f>
        <v/>
      </c>
      <c r="V42">
        <f>SUM(L42:U42)</f>
        <v/>
      </c>
      <c r="W42">
        <f>V42*2.5</f>
        <v/>
      </c>
      <c r="X42">
        <f>VLOOKUP(A42,Participants!$A$2:$B$86,2,FALSE)</f>
        <v/>
      </c>
    </row>
    <row r="43">
      <c r="A43" t="inlineStr">
        <is>
          <t>user_0055</t>
        </is>
      </c>
      <c r="B43" t="n">
        <v>5</v>
      </c>
      <c r="C43" t="n">
        <v>5</v>
      </c>
      <c r="D43" t="n">
        <v>5</v>
      </c>
      <c r="E43" t="n">
        <v>5</v>
      </c>
      <c r="F43" t="n">
        <v>5</v>
      </c>
      <c r="G43" t="n">
        <v>5</v>
      </c>
      <c r="H43" t="n">
        <v>5</v>
      </c>
      <c r="I43" t="n">
        <v>5</v>
      </c>
      <c r="J43" t="n">
        <v>4.5</v>
      </c>
      <c r="K43" t="n">
        <v>4.5</v>
      </c>
      <c r="L43">
        <f>B43-1</f>
        <v/>
      </c>
      <c r="M43">
        <f>5-C43</f>
        <v/>
      </c>
      <c r="N43">
        <f>D43-1</f>
        <v/>
      </c>
      <c r="O43">
        <f>5-E43</f>
        <v/>
      </c>
      <c r="P43">
        <f>F43-1</f>
        <v/>
      </c>
      <c r="Q43">
        <f>5-G43</f>
        <v/>
      </c>
      <c r="R43">
        <f>H43-1</f>
        <v/>
      </c>
      <c r="S43">
        <f>5-I43</f>
        <v/>
      </c>
      <c r="T43">
        <f>J43-1</f>
        <v/>
      </c>
      <c r="U43">
        <f>5-K43</f>
        <v/>
      </c>
      <c r="V43">
        <f>SUM(L43:U43)</f>
        <v/>
      </c>
      <c r="W43">
        <f>V43*2.5</f>
        <v/>
      </c>
      <c r="X43">
        <f>VLOOKUP(A43,Participants!$A$2:$B$86,2,FALSE)</f>
        <v/>
      </c>
    </row>
    <row r="44">
      <c r="A44" t="inlineStr">
        <is>
          <t>user_0061</t>
        </is>
      </c>
      <c r="B44" t="n">
        <v>3</v>
      </c>
      <c r="C44" t="n">
        <v>1.5</v>
      </c>
      <c r="D44" t="n">
        <v>4.5</v>
      </c>
      <c r="E44" t="n">
        <v>1</v>
      </c>
      <c r="F44" t="n">
        <v>2.5</v>
      </c>
      <c r="G44" t="n">
        <v>1</v>
      </c>
      <c r="H44" t="n">
        <v>4.5</v>
      </c>
      <c r="I44" t="n">
        <v>2</v>
      </c>
      <c r="J44" t="n">
        <v>5</v>
      </c>
      <c r="K44" t="n">
        <v>1</v>
      </c>
      <c r="L44">
        <f>B44-1</f>
        <v/>
      </c>
      <c r="M44">
        <f>5-C44</f>
        <v/>
      </c>
      <c r="N44">
        <f>D44-1</f>
        <v/>
      </c>
      <c r="O44">
        <f>5-E44</f>
        <v/>
      </c>
      <c r="P44">
        <f>F44-1</f>
        <v/>
      </c>
      <c r="Q44">
        <f>5-G44</f>
        <v/>
      </c>
      <c r="R44">
        <f>H44-1</f>
        <v/>
      </c>
      <c r="S44">
        <f>5-I44</f>
        <v/>
      </c>
      <c r="T44">
        <f>J44-1</f>
        <v/>
      </c>
      <c r="U44">
        <f>5-K44</f>
        <v/>
      </c>
      <c r="V44">
        <f>SUM(L44:U44)</f>
        <v/>
      </c>
      <c r="W44">
        <f>V44*2.5</f>
        <v/>
      </c>
      <c r="X44">
        <f>VLOOKUP(A44,Participants!$A$2:$B$86,2,FALSE)</f>
        <v/>
      </c>
    </row>
    <row r="45">
      <c r="A45" t="inlineStr">
        <is>
          <t>user_0065</t>
        </is>
      </c>
      <c r="B45" t="n">
        <v>4</v>
      </c>
      <c r="C45" t="n">
        <v>1.5</v>
      </c>
      <c r="D45" t="n">
        <v>4</v>
      </c>
      <c r="E45" t="n">
        <v>1</v>
      </c>
      <c r="F45" t="n">
        <v>3</v>
      </c>
      <c r="G45" t="n">
        <v>1.5</v>
      </c>
      <c r="H45" t="n">
        <v>4.5</v>
      </c>
      <c r="I45" t="n">
        <v>2</v>
      </c>
      <c r="J45" t="n">
        <v>4.5</v>
      </c>
      <c r="K45" t="n">
        <v>1</v>
      </c>
      <c r="L45">
        <f>B45-1</f>
        <v/>
      </c>
      <c r="M45">
        <f>5-C45</f>
        <v/>
      </c>
      <c r="N45">
        <f>D45-1</f>
        <v/>
      </c>
      <c r="O45">
        <f>5-E45</f>
        <v/>
      </c>
      <c r="P45">
        <f>F45-1</f>
        <v/>
      </c>
      <c r="Q45">
        <f>5-G45</f>
        <v/>
      </c>
      <c r="R45">
        <f>H45-1</f>
        <v/>
      </c>
      <c r="S45">
        <f>5-I45</f>
        <v/>
      </c>
      <c r="T45">
        <f>J45-1</f>
        <v/>
      </c>
      <c r="U45">
        <f>5-K45</f>
        <v/>
      </c>
      <c r="V45">
        <f>SUM(L45:U45)</f>
        <v/>
      </c>
      <c r="W45">
        <f>V45*2.5</f>
        <v/>
      </c>
      <c r="X45">
        <f>VLOOKUP(A45,Participants!$A$2:$B$86,2,FALSE)</f>
        <v/>
      </c>
    </row>
    <row r="46">
      <c r="A46" t="inlineStr">
        <is>
          <t>user_0067</t>
        </is>
      </c>
      <c r="B46" t="n">
        <v>1.5</v>
      </c>
      <c r="C46" t="n">
        <v>3</v>
      </c>
      <c r="D46" t="n">
        <v>1.5</v>
      </c>
      <c r="E46" t="n">
        <v>2.5</v>
      </c>
      <c r="F46" t="n">
        <v>2.5</v>
      </c>
      <c r="G46" t="n">
        <v>3</v>
      </c>
      <c r="H46" t="n">
        <v>3.5</v>
      </c>
      <c r="I46" t="n">
        <v>4.5</v>
      </c>
      <c r="J46" t="n">
        <v>4.5</v>
      </c>
      <c r="K46" t="n">
        <v>5</v>
      </c>
      <c r="L46">
        <f>B46-1</f>
        <v/>
      </c>
      <c r="M46">
        <f>5-C46</f>
        <v/>
      </c>
      <c r="N46">
        <f>D46-1</f>
        <v/>
      </c>
      <c r="O46">
        <f>5-E46</f>
        <v/>
      </c>
      <c r="P46">
        <f>F46-1</f>
        <v/>
      </c>
      <c r="Q46">
        <f>5-G46</f>
        <v/>
      </c>
      <c r="R46">
        <f>H46-1</f>
        <v/>
      </c>
      <c r="S46">
        <f>5-I46</f>
        <v/>
      </c>
      <c r="T46">
        <f>J46-1</f>
        <v/>
      </c>
      <c r="U46">
        <f>5-K46</f>
        <v/>
      </c>
      <c r="V46">
        <f>SUM(L46:U46)</f>
        <v/>
      </c>
      <c r="W46">
        <f>V46*2.5</f>
        <v/>
      </c>
      <c r="X46">
        <f>VLOOKUP(A46,Participants!$A$2:$B$86,2,FALSE)</f>
        <v/>
      </c>
    </row>
    <row r="47">
      <c r="A47" t="inlineStr">
        <is>
          <t>user_0101</t>
        </is>
      </c>
      <c r="B47" t="n">
        <v>4</v>
      </c>
      <c r="C47" t="n">
        <v>2</v>
      </c>
      <c r="D47" t="n">
        <v>4</v>
      </c>
      <c r="E47" t="n">
        <v>2</v>
      </c>
      <c r="F47" t="n">
        <v>4</v>
      </c>
      <c r="G47" t="n">
        <v>3</v>
      </c>
      <c r="H47" t="n">
        <v>4</v>
      </c>
      <c r="I47" t="n">
        <v>2</v>
      </c>
      <c r="J47" t="n">
        <v>3</v>
      </c>
      <c r="K47" t="n">
        <v>1</v>
      </c>
      <c r="L47">
        <f>B47-1</f>
        <v/>
      </c>
      <c r="M47">
        <f>5-C47</f>
        <v/>
      </c>
      <c r="N47">
        <f>D47-1</f>
        <v/>
      </c>
      <c r="O47">
        <f>5-E47</f>
        <v/>
      </c>
      <c r="P47">
        <f>F47-1</f>
        <v/>
      </c>
      <c r="Q47">
        <f>5-G47</f>
        <v/>
      </c>
      <c r="R47">
        <f>H47-1</f>
        <v/>
      </c>
      <c r="S47">
        <f>5-I47</f>
        <v/>
      </c>
      <c r="T47">
        <f>J47-1</f>
        <v/>
      </c>
      <c r="U47">
        <f>5-K47</f>
        <v/>
      </c>
      <c r="V47">
        <f>SUM(L47:U47)</f>
        <v/>
      </c>
      <c r="W47">
        <f>V47*2.5</f>
        <v/>
      </c>
      <c r="X47">
        <f>VLOOKUP(A47,Participants!$A$2:$B$86,2,FALSE)</f>
        <v/>
      </c>
    </row>
    <row r="48">
      <c r="A48" t="inlineStr">
        <is>
          <t>user_0102</t>
        </is>
      </c>
      <c r="B48" t="n">
        <v>4</v>
      </c>
      <c r="C48" t="n">
        <v>1</v>
      </c>
      <c r="D48" t="n">
        <v>5</v>
      </c>
      <c r="E48" t="n">
        <v>1</v>
      </c>
      <c r="F48" t="n">
        <v>4</v>
      </c>
      <c r="G48" t="n">
        <v>1</v>
      </c>
      <c r="H48" t="n">
        <v>5</v>
      </c>
      <c r="I48" t="n">
        <v>1</v>
      </c>
      <c r="J48" t="n">
        <v>4</v>
      </c>
      <c r="K48" t="n">
        <v>2</v>
      </c>
      <c r="L48">
        <f>B48-1</f>
        <v/>
      </c>
      <c r="M48">
        <f>5-C48</f>
        <v/>
      </c>
      <c r="N48">
        <f>D48-1</f>
        <v/>
      </c>
      <c r="O48">
        <f>5-E48</f>
        <v/>
      </c>
      <c r="P48">
        <f>F48-1</f>
        <v/>
      </c>
      <c r="Q48">
        <f>5-G48</f>
        <v/>
      </c>
      <c r="R48">
        <f>H48-1</f>
        <v/>
      </c>
      <c r="S48">
        <f>5-I48</f>
        <v/>
      </c>
      <c r="T48">
        <f>J48-1</f>
        <v/>
      </c>
      <c r="U48">
        <f>5-K48</f>
        <v/>
      </c>
      <c r="V48">
        <f>SUM(L48:U48)</f>
        <v/>
      </c>
      <c r="W48">
        <f>V48*2.5</f>
        <v/>
      </c>
      <c r="X48">
        <f>VLOOKUP(A48,Participants!$A$2:$B$86,2,FALSE)</f>
        <v/>
      </c>
    </row>
    <row r="49">
      <c r="A49" t="inlineStr">
        <is>
          <t>user_0103</t>
        </is>
      </c>
      <c r="B49" t="n">
        <v>3</v>
      </c>
      <c r="C49" t="n">
        <v>2</v>
      </c>
      <c r="D49" t="n">
        <v>4</v>
      </c>
      <c r="E49" t="n">
        <v>2</v>
      </c>
      <c r="F49" t="n">
        <v>4</v>
      </c>
      <c r="G49" t="n">
        <v>2</v>
      </c>
      <c r="H49" t="n">
        <v>4</v>
      </c>
      <c r="I49" t="n">
        <v>2</v>
      </c>
      <c r="J49" t="n">
        <v>4</v>
      </c>
      <c r="K49" t="n">
        <v>2</v>
      </c>
      <c r="L49">
        <f>B49-1</f>
        <v/>
      </c>
      <c r="M49">
        <f>5-C49</f>
        <v/>
      </c>
      <c r="N49">
        <f>D49-1</f>
        <v/>
      </c>
      <c r="O49">
        <f>5-E49</f>
        <v/>
      </c>
      <c r="P49">
        <f>F49-1</f>
        <v/>
      </c>
      <c r="Q49">
        <f>5-G49</f>
        <v/>
      </c>
      <c r="R49">
        <f>H49-1</f>
        <v/>
      </c>
      <c r="S49">
        <f>5-I49</f>
        <v/>
      </c>
      <c r="T49">
        <f>J49-1</f>
        <v/>
      </c>
      <c r="U49">
        <f>5-K49</f>
        <v/>
      </c>
      <c r="V49">
        <f>SUM(L49:U49)</f>
        <v/>
      </c>
      <c r="W49">
        <f>V49*2.5</f>
        <v/>
      </c>
      <c r="X49">
        <f>VLOOKUP(A49,Participants!$A$2:$B$86,2,FALSE)</f>
        <v/>
      </c>
    </row>
    <row r="50">
      <c r="A50" t="inlineStr">
        <is>
          <t>user_0104</t>
        </is>
      </c>
      <c r="B50" t="n">
        <v>3</v>
      </c>
      <c r="C50" t="n">
        <v>2</v>
      </c>
      <c r="D50" t="n">
        <v>4</v>
      </c>
      <c r="E50" t="n">
        <v>3</v>
      </c>
      <c r="F50" t="n">
        <v>3</v>
      </c>
      <c r="G50" t="n">
        <v>2</v>
      </c>
      <c r="H50" t="n">
        <v>3</v>
      </c>
      <c r="I50" t="n">
        <v>3</v>
      </c>
      <c r="J50" t="n">
        <v>3</v>
      </c>
      <c r="K50" t="n">
        <v>3</v>
      </c>
      <c r="L50">
        <f>B50-1</f>
        <v/>
      </c>
      <c r="M50">
        <f>5-C50</f>
        <v/>
      </c>
      <c r="N50">
        <f>D50-1</f>
        <v/>
      </c>
      <c r="O50">
        <f>5-E50</f>
        <v/>
      </c>
      <c r="P50">
        <f>F50-1</f>
        <v/>
      </c>
      <c r="Q50">
        <f>5-G50</f>
        <v/>
      </c>
      <c r="R50">
        <f>H50-1</f>
        <v/>
      </c>
      <c r="S50">
        <f>5-I50</f>
        <v/>
      </c>
      <c r="T50">
        <f>J50-1</f>
        <v/>
      </c>
      <c r="U50">
        <f>5-K50</f>
        <v/>
      </c>
      <c r="V50">
        <f>SUM(L50:U50)</f>
        <v/>
      </c>
      <c r="W50">
        <f>V50*2.5</f>
        <v/>
      </c>
      <c r="X50">
        <f>VLOOKUP(A50,Participants!$A$2:$B$86,2,FALSE)</f>
        <v/>
      </c>
    </row>
    <row r="51">
      <c r="A51" t="inlineStr">
        <is>
          <t>user_0105</t>
        </is>
      </c>
      <c r="B51" t="n">
        <v>3</v>
      </c>
      <c r="C51" t="n">
        <v>2</v>
      </c>
      <c r="D51" t="n">
        <v>4</v>
      </c>
      <c r="E51" t="n">
        <v>2</v>
      </c>
      <c r="F51" t="n">
        <v>4</v>
      </c>
      <c r="G51" t="n">
        <v>2</v>
      </c>
      <c r="H51" t="n">
        <v>4</v>
      </c>
      <c r="I51" t="n">
        <v>2</v>
      </c>
      <c r="J51" t="n">
        <v>4</v>
      </c>
      <c r="K51" t="n">
        <v>2</v>
      </c>
      <c r="L51">
        <f>B51-1</f>
        <v/>
      </c>
      <c r="M51">
        <f>5-C51</f>
        <v/>
      </c>
      <c r="N51">
        <f>D51-1</f>
        <v/>
      </c>
      <c r="O51">
        <f>5-E51</f>
        <v/>
      </c>
      <c r="P51">
        <f>F51-1</f>
        <v/>
      </c>
      <c r="Q51">
        <f>5-G51</f>
        <v/>
      </c>
      <c r="R51">
        <f>H51-1</f>
        <v/>
      </c>
      <c r="S51">
        <f>5-I51</f>
        <v/>
      </c>
      <c r="T51">
        <f>J51-1</f>
        <v/>
      </c>
      <c r="U51">
        <f>5-K51</f>
        <v/>
      </c>
      <c r="V51">
        <f>SUM(L51:U51)</f>
        <v/>
      </c>
      <c r="W51">
        <f>V51*2.5</f>
        <v/>
      </c>
      <c r="X51">
        <f>VLOOKUP(A51,Participants!$A$2:$B$86,2,FALSE)</f>
        <v/>
      </c>
    </row>
    <row r="52">
      <c r="A52" t="inlineStr">
        <is>
          <t>user_0106</t>
        </is>
      </c>
      <c r="B52" t="n">
        <v>4</v>
      </c>
      <c r="C52" t="n">
        <v>1</v>
      </c>
      <c r="D52" t="n">
        <v>5</v>
      </c>
      <c r="E52" t="n">
        <v>2</v>
      </c>
      <c r="F52" t="n">
        <v>5</v>
      </c>
      <c r="G52" t="n">
        <v>1</v>
      </c>
      <c r="H52" t="n">
        <v>5</v>
      </c>
      <c r="I52" t="n">
        <v>1</v>
      </c>
      <c r="J52" t="n">
        <v>5</v>
      </c>
      <c r="K52" t="n">
        <v>2</v>
      </c>
      <c r="L52">
        <f>B52-1</f>
        <v/>
      </c>
      <c r="M52">
        <f>5-C52</f>
        <v/>
      </c>
      <c r="N52">
        <f>D52-1</f>
        <v/>
      </c>
      <c r="O52">
        <f>5-E52</f>
        <v/>
      </c>
      <c r="P52">
        <f>F52-1</f>
        <v/>
      </c>
      <c r="Q52">
        <f>5-G52</f>
        <v/>
      </c>
      <c r="R52">
        <f>H52-1</f>
        <v/>
      </c>
      <c r="S52">
        <f>5-I52</f>
        <v/>
      </c>
      <c r="T52">
        <f>J52-1</f>
        <v/>
      </c>
      <c r="U52">
        <f>5-K52</f>
        <v/>
      </c>
      <c r="V52">
        <f>SUM(L52:U52)</f>
        <v/>
      </c>
      <c r="W52">
        <f>V52*2.5</f>
        <v/>
      </c>
      <c r="X52">
        <f>VLOOKUP(A52,Participants!$A$2:$B$86,2,FALSE)</f>
        <v/>
      </c>
    </row>
    <row r="53">
      <c r="A53" t="inlineStr">
        <is>
          <t>user_0107</t>
        </is>
      </c>
      <c r="B53" t="n">
        <v>4</v>
      </c>
      <c r="C53" t="n">
        <v>2</v>
      </c>
      <c r="D53" t="n">
        <v>5</v>
      </c>
      <c r="E53" t="n">
        <v>3</v>
      </c>
      <c r="F53" t="n">
        <v>4</v>
      </c>
      <c r="G53" t="n">
        <v>2</v>
      </c>
      <c r="H53" t="n">
        <v>4</v>
      </c>
      <c r="I53" t="n">
        <v>2</v>
      </c>
      <c r="J53" t="n">
        <v>4</v>
      </c>
      <c r="K53" t="n">
        <v>2</v>
      </c>
      <c r="L53">
        <f>B53-1</f>
        <v/>
      </c>
      <c r="M53">
        <f>5-C53</f>
        <v/>
      </c>
      <c r="N53">
        <f>D53-1</f>
        <v/>
      </c>
      <c r="O53">
        <f>5-E53</f>
        <v/>
      </c>
      <c r="P53">
        <f>F53-1</f>
        <v/>
      </c>
      <c r="Q53">
        <f>5-G53</f>
        <v/>
      </c>
      <c r="R53">
        <f>H53-1</f>
        <v/>
      </c>
      <c r="S53">
        <f>5-I53</f>
        <v/>
      </c>
      <c r="T53">
        <f>J53-1</f>
        <v/>
      </c>
      <c r="U53">
        <f>5-K53</f>
        <v/>
      </c>
      <c r="V53">
        <f>SUM(L53:U53)</f>
        <v/>
      </c>
      <c r="W53">
        <f>V53*2.5</f>
        <v/>
      </c>
      <c r="X53">
        <f>VLOOKUP(A53,Participants!$A$2:$B$86,2,FALSE)</f>
        <v/>
      </c>
    </row>
    <row r="54">
      <c r="A54" t="inlineStr">
        <is>
          <t>user_0108</t>
        </is>
      </c>
      <c r="B54" t="n">
        <v>2</v>
      </c>
      <c r="C54" t="n">
        <v>2</v>
      </c>
      <c r="D54" t="n">
        <v>4</v>
      </c>
      <c r="E54" t="n">
        <v>1</v>
      </c>
      <c r="F54" t="n">
        <v>3</v>
      </c>
      <c r="G54" t="n">
        <v>3</v>
      </c>
      <c r="H54" t="n">
        <v>4</v>
      </c>
      <c r="I54" t="n">
        <v>2</v>
      </c>
      <c r="J54" t="n">
        <v>4</v>
      </c>
      <c r="K54" t="n">
        <v>1</v>
      </c>
      <c r="L54">
        <f>B54-1</f>
        <v/>
      </c>
      <c r="M54">
        <f>5-C54</f>
        <v/>
      </c>
      <c r="N54">
        <f>D54-1</f>
        <v/>
      </c>
      <c r="O54">
        <f>5-E54</f>
        <v/>
      </c>
      <c r="P54">
        <f>F54-1</f>
        <v/>
      </c>
      <c r="Q54">
        <f>5-G54</f>
        <v/>
      </c>
      <c r="R54">
        <f>H54-1</f>
        <v/>
      </c>
      <c r="S54">
        <f>5-I54</f>
        <v/>
      </c>
      <c r="T54">
        <f>J54-1</f>
        <v/>
      </c>
      <c r="U54">
        <f>5-K54</f>
        <v/>
      </c>
      <c r="V54">
        <f>SUM(L54:U54)</f>
        <v/>
      </c>
      <c r="W54">
        <f>V54*2.5</f>
        <v/>
      </c>
      <c r="X54">
        <f>VLOOKUP(A54,Participants!$A$2:$B$86,2,FALSE)</f>
        <v/>
      </c>
    </row>
    <row r="55">
      <c r="A55" t="inlineStr">
        <is>
          <t>user_0109</t>
        </is>
      </c>
      <c r="B55" t="n">
        <v>3</v>
      </c>
      <c r="C55" t="n">
        <v>2</v>
      </c>
      <c r="D55" t="n">
        <v>3</v>
      </c>
      <c r="E55" t="n">
        <v>4</v>
      </c>
      <c r="F55" t="n">
        <v>4</v>
      </c>
      <c r="G55" t="n">
        <v>2</v>
      </c>
      <c r="H55" t="n">
        <v>4</v>
      </c>
      <c r="I55" t="n">
        <v>2</v>
      </c>
      <c r="J55" t="n">
        <v>3</v>
      </c>
      <c r="K55" t="n">
        <v>3</v>
      </c>
      <c r="L55">
        <f>B55-1</f>
        <v/>
      </c>
      <c r="M55">
        <f>5-C55</f>
        <v/>
      </c>
      <c r="N55">
        <f>D55-1</f>
        <v/>
      </c>
      <c r="O55">
        <f>5-E55</f>
        <v/>
      </c>
      <c r="P55">
        <f>F55-1</f>
        <v/>
      </c>
      <c r="Q55">
        <f>5-G55</f>
        <v/>
      </c>
      <c r="R55">
        <f>H55-1</f>
        <v/>
      </c>
      <c r="S55">
        <f>5-I55</f>
        <v/>
      </c>
      <c r="T55">
        <f>J55-1</f>
        <v/>
      </c>
      <c r="U55">
        <f>5-K55</f>
        <v/>
      </c>
      <c r="V55">
        <f>SUM(L55:U55)</f>
        <v/>
      </c>
      <c r="W55">
        <f>V55*2.5</f>
        <v/>
      </c>
      <c r="X55">
        <f>VLOOKUP(A55,Participants!$A$2:$B$86,2,FALSE)</f>
        <v/>
      </c>
    </row>
    <row r="56">
      <c r="A56" t="inlineStr">
        <is>
          <t>user_0110</t>
        </is>
      </c>
      <c r="B56" t="n">
        <v>4</v>
      </c>
      <c r="C56" t="n">
        <v>2</v>
      </c>
      <c r="D56" t="n">
        <v>4</v>
      </c>
      <c r="E56" t="n">
        <v>1</v>
      </c>
      <c r="F56" t="n">
        <v>4</v>
      </c>
      <c r="G56" t="n">
        <v>1</v>
      </c>
      <c r="H56" t="n">
        <v>4</v>
      </c>
      <c r="I56" t="n">
        <v>2</v>
      </c>
      <c r="J56" t="n">
        <v>4</v>
      </c>
      <c r="K56" t="n">
        <v>2</v>
      </c>
      <c r="L56">
        <f>B56-1</f>
        <v/>
      </c>
      <c r="M56">
        <f>5-C56</f>
        <v/>
      </c>
      <c r="N56">
        <f>D56-1</f>
        <v/>
      </c>
      <c r="O56">
        <f>5-E56</f>
        <v/>
      </c>
      <c r="P56">
        <f>F56-1</f>
        <v/>
      </c>
      <c r="Q56">
        <f>5-G56</f>
        <v/>
      </c>
      <c r="R56">
        <f>H56-1</f>
        <v/>
      </c>
      <c r="S56">
        <f>5-I56</f>
        <v/>
      </c>
      <c r="T56">
        <f>J56-1</f>
        <v/>
      </c>
      <c r="U56">
        <f>5-K56</f>
        <v/>
      </c>
      <c r="V56">
        <f>SUM(L56:U56)</f>
        <v/>
      </c>
      <c r="W56">
        <f>V56*2.5</f>
        <v/>
      </c>
      <c r="X56">
        <f>VLOOKUP(A56,Participants!$A$2:$B$86,2,FALSE)</f>
        <v/>
      </c>
    </row>
    <row r="57">
      <c r="A57" t="inlineStr">
        <is>
          <t>user_0113</t>
        </is>
      </c>
      <c r="B57" t="n">
        <v>2</v>
      </c>
      <c r="C57" t="n">
        <v>4</v>
      </c>
      <c r="D57" t="n">
        <v>3</v>
      </c>
      <c r="E57" t="n">
        <v>1.5</v>
      </c>
      <c r="F57" t="n">
        <v>2.5</v>
      </c>
      <c r="G57" t="n">
        <v>4</v>
      </c>
      <c r="H57" t="n">
        <v>3</v>
      </c>
      <c r="I57" t="n">
        <v>3</v>
      </c>
      <c r="J57" t="n">
        <v>2</v>
      </c>
      <c r="K57" t="n">
        <v>1</v>
      </c>
      <c r="L57">
        <f>B57-1</f>
        <v/>
      </c>
      <c r="M57">
        <f>5-C57</f>
        <v/>
      </c>
      <c r="N57">
        <f>D57-1</f>
        <v/>
      </c>
      <c r="O57">
        <f>5-E57</f>
        <v/>
      </c>
      <c r="P57">
        <f>F57-1</f>
        <v/>
      </c>
      <c r="Q57">
        <f>5-G57</f>
        <v/>
      </c>
      <c r="R57">
        <f>H57-1</f>
        <v/>
      </c>
      <c r="S57">
        <f>5-I57</f>
        <v/>
      </c>
      <c r="T57">
        <f>J57-1</f>
        <v/>
      </c>
      <c r="U57">
        <f>5-K57</f>
        <v/>
      </c>
      <c r="V57">
        <f>SUM(L57:U57)</f>
        <v/>
      </c>
      <c r="W57">
        <f>V57*2.5</f>
        <v/>
      </c>
      <c r="X57">
        <f>VLOOKUP(A57,Participants!$A$2:$B$86,2,FALSE)</f>
        <v/>
      </c>
    </row>
    <row r="58">
      <c r="A58" t="inlineStr">
        <is>
          <t>user_0114</t>
        </is>
      </c>
      <c r="B58" t="n">
        <v>4</v>
      </c>
      <c r="C58" t="n">
        <v>1</v>
      </c>
      <c r="D58" t="n">
        <v>4.5</v>
      </c>
      <c r="E58" t="n">
        <v>1</v>
      </c>
      <c r="F58" t="n">
        <v>3</v>
      </c>
      <c r="G58" t="n">
        <v>4</v>
      </c>
      <c r="H58" t="n">
        <v>4</v>
      </c>
      <c r="I58" t="n">
        <v>2</v>
      </c>
      <c r="J58" t="n">
        <v>4</v>
      </c>
      <c r="K58" t="n">
        <v>1</v>
      </c>
      <c r="L58">
        <f>B58-1</f>
        <v/>
      </c>
      <c r="M58">
        <f>5-C58</f>
        <v/>
      </c>
      <c r="N58">
        <f>D58-1</f>
        <v/>
      </c>
      <c r="O58">
        <f>5-E58</f>
        <v/>
      </c>
      <c r="P58">
        <f>F58-1</f>
        <v/>
      </c>
      <c r="Q58">
        <f>5-G58</f>
        <v/>
      </c>
      <c r="R58">
        <f>H58-1</f>
        <v/>
      </c>
      <c r="S58">
        <f>5-I58</f>
        <v/>
      </c>
      <c r="T58">
        <f>J58-1</f>
        <v/>
      </c>
      <c r="U58">
        <f>5-K58</f>
        <v/>
      </c>
      <c r="V58">
        <f>SUM(L58:U58)</f>
        <v/>
      </c>
      <c r="W58">
        <f>V58*2.5</f>
        <v/>
      </c>
      <c r="X58">
        <f>VLOOKUP(A58,Participants!$A$2:$B$86,2,FALSE)</f>
        <v/>
      </c>
    </row>
    <row r="59">
      <c r="A59" t="inlineStr">
        <is>
          <t>user_0115</t>
        </is>
      </c>
      <c r="B59" t="n">
        <v>4</v>
      </c>
      <c r="C59" t="n">
        <v>1.5</v>
      </c>
      <c r="D59" t="n">
        <v>3.5</v>
      </c>
      <c r="E59" t="n">
        <v>1</v>
      </c>
      <c r="F59" t="n">
        <v>4</v>
      </c>
      <c r="G59" t="n">
        <v>2.5</v>
      </c>
      <c r="H59" t="n">
        <v>3</v>
      </c>
      <c r="I59" t="n">
        <v>2</v>
      </c>
      <c r="J59" t="n">
        <v>3.5</v>
      </c>
      <c r="K59" t="n">
        <v>2</v>
      </c>
      <c r="L59">
        <f>B59-1</f>
        <v/>
      </c>
      <c r="M59">
        <f>5-C59</f>
        <v/>
      </c>
      <c r="N59">
        <f>D59-1</f>
        <v/>
      </c>
      <c r="O59">
        <f>5-E59</f>
        <v/>
      </c>
      <c r="P59">
        <f>F59-1</f>
        <v/>
      </c>
      <c r="Q59">
        <f>5-G59</f>
        <v/>
      </c>
      <c r="R59">
        <f>H59-1</f>
        <v/>
      </c>
      <c r="S59">
        <f>5-I59</f>
        <v/>
      </c>
      <c r="T59">
        <f>J59-1</f>
        <v/>
      </c>
      <c r="U59">
        <f>5-K59</f>
        <v/>
      </c>
      <c r="V59">
        <f>SUM(L59:U59)</f>
        <v/>
      </c>
      <c r="W59">
        <f>V59*2.5</f>
        <v/>
      </c>
      <c r="X59">
        <f>VLOOKUP(A59,Participants!$A$2:$B$86,2,FALSE)</f>
        <v/>
      </c>
    </row>
    <row r="60">
      <c r="A60" t="inlineStr">
        <is>
          <t>user_0116</t>
        </is>
      </c>
      <c r="B60" t="n">
        <v>1</v>
      </c>
      <c r="C60" t="n">
        <v>4.5</v>
      </c>
      <c r="D60" t="n">
        <v>3.5</v>
      </c>
      <c r="E60" t="n">
        <v>4.5</v>
      </c>
      <c r="F60" t="n">
        <v>1</v>
      </c>
      <c r="G60" t="n">
        <v>4</v>
      </c>
      <c r="H60" t="n">
        <v>3</v>
      </c>
      <c r="I60" t="n">
        <v>3.5</v>
      </c>
      <c r="J60" t="n">
        <v>1.5</v>
      </c>
      <c r="K60" t="n">
        <v>1</v>
      </c>
      <c r="L60">
        <f>B60-1</f>
        <v/>
      </c>
      <c r="M60">
        <f>5-C60</f>
        <v/>
      </c>
      <c r="N60">
        <f>D60-1</f>
        <v/>
      </c>
      <c r="O60">
        <f>5-E60</f>
        <v/>
      </c>
      <c r="P60">
        <f>F60-1</f>
        <v/>
      </c>
      <c r="Q60">
        <f>5-G60</f>
        <v/>
      </c>
      <c r="R60">
        <f>H60-1</f>
        <v/>
      </c>
      <c r="S60">
        <f>5-I60</f>
        <v/>
      </c>
      <c r="T60">
        <f>J60-1</f>
        <v/>
      </c>
      <c r="U60">
        <f>5-K60</f>
        <v/>
      </c>
      <c r="V60">
        <f>SUM(L60:U60)</f>
        <v/>
      </c>
      <c r="W60">
        <f>V60*2.5</f>
        <v/>
      </c>
      <c r="X60">
        <f>VLOOKUP(A60,Participants!$A$2:$B$86,2,FALSE)</f>
        <v/>
      </c>
    </row>
    <row r="61">
      <c r="A61" t="inlineStr">
        <is>
          <t>user_0118</t>
        </is>
      </c>
      <c r="B61" t="n">
        <v>2</v>
      </c>
      <c r="C61" t="n">
        <v>2.5</v>
      </c>
      <c r="D61" t="n">
        <v>3</v>
      </c>
      <c r="E61" t="n">
        <v>5</v>
      </c>
      <c r="F61" t="n">
        <v>4</v>
      </c>
      <c r="G61" t="n">
        <v>2</v>
      </c>
      <c r="H61" t="n">
        <v>2</v>
      </c>
      <c r="I61" t="n">
        <v>2.5</v>
      </c>
      <c r="J61" t="n">
        <v>2</v>
      </c>
      <c r="K61" t="n">
        <v>1.5</v>
      </c>
      <c r="L61">
        <f>B61-1</f>
        <v/>
      </c>
      <c r="M61">
        <f>5-C61</f>
        <v/>
      </c>
      <c r="N61">
        <f>D61-1</f>
        <v/>
      </c>
      <c r="O61">
        <f>5-E61</f>
        <v/>
      </c>
      <c r="P61">
        <f>F61-1</f>
        <v/>
      </c>
      <c r="Q61">
        <f>5-G61</f>
        <v/>
      </c>
      <c r="R61">
        <f>H61-1</f>
        <v/>
      </c>
      <c r="S61">
        <f>5-I61</f>
        <v/>
      </c>
      <c r="T61">
        <f>J61-1</f>
        <v/>
      </c>
      <c r="U61">
        <f>5-K61</f>
        <v/>
      </c>
      <c r="V61">
        <f>SUM(L61:U61)</f>
        <v/>
      </c>
      <c r="W61">
        <f>V61*2.5</f>
        <v/>
      </c>
      <c r="X61">
        <f>VLOOKUP(A61,Participants!$A$2:$B$86,2,FALSE)</f>
        <v/>
      </c>
    </row>
    <row r="62">
      <c r="A62" t="inlineStr">
        <is>
          <t>user_0119</t>
        </is>
      </c>
      <c r="B62" t="n">
        <v>4</v>
      </c>
      <c r="C62" t="n">
        <v>3</v>
      </c>
      <c r="D62" t="n">
        <v>2.5</v>
      </c>
      <c r="E62" t="n">
        <v>3</v>
      </c>
      <c r="F62" t="n">
        <v>3</v>
      </c>
      <c r="G62" t="n">
        <v>3</v>
      </c>
      <c r="H62" t="n">
        <v>2</v>
      </c>
      <c r="I62" t="n">
        <v>4</v>
      </c>
      <c r="J62" t="n">
        <v>3</v>
      </c>
      <c r="K62" t="n">
        <v>3</v>
      </c>
      <c r="L62">
        <f>B62-1</f>
        <v/>
      </c>
      <c r="M62">
        <f>5-C62</f>
        <v/>
      </c>
      <c r="N62">
        <f>D62-1</f>
        <v/>
      </c>
      <c r="O62">
        <f>5-E62</f>
        <v/>
      </c>
      <c r="P62">
        <f>F62-1</f>
        <v/>
      </c>
      <c r="Q62">
        <f>5-G62</f>
        <v/>
      </c>
      <c r="R62">
        <f>H62-1</f>
        <v/>
      </c>
      <c r="S62">
        <f>5-I62</f>
        <v/>
      </c>
      <c r="T62">
        <f>J62-1</f>
        <v/>
      </c>
      <c r="U62">
        <f>5-K62</f>
        <v/>
      </c>
      <c r="V62">
        <f>SUM(L62:U62)</f>
        <v/>
      </c>
      <c r="W62">
        <f>V62*2.5</f>
        <v/>
      </c>
      <c r="X62">
        <f>VLOOKUP(A62,Participants!$A$2:$B$86,2,FALSE)</f>
        <v/>
      </c>
    </row>
    <row r="63">
      <c r="A63" t="inlineStr">
        <is>
          <t>user_0120</t>
        </is>
      </c>
      <c r="B63" t="n">
        <v>4</v>
      </c>
      <c r="C63" t="n">
        <v>3</v>
      </c>
      <c r="D63" t="n">
        <v>4</v>
      </c>
      <c r="E63" t="n">
        <v>2</v>
      </c>
      <c r="F63" t="n">
        <v>4</v>
      </c>
      <c r="G63" t="n">
        <v>2</v>
      </c>
      <c r="H63" t="n">
        <v>4</v>
      </c>
      <c r="I63" t="n">
        <v>2</v>
      </c>
      <c r="J63" t="n">
        <v>3.5</v>
      </c>
      <c r="K63" t="n">
        <v>2</v>
      </c>
      <c r="L63">
        <f>B63-1</f>
        <v/>
      </c>
      <c r="M63">
        <f>5-C63</f>
        <v/>
      </c>
      <c r="N63">
        <f>D63-1</f>
        <v/>
      </c>
      <c r="O63">
        <f>5-E63</f>
        <v/>
      </c>
      <c r="P63">
        <f>F63-1</f>
        <v/>
      </c>
      <c r="Q63">
        <f>5-G63</f>
        <v/>
      </c>
      <c r="R63">
        <f>H63-1</f>
        <v/>
      </c>
      <c r="S63">
        <f>5-I63</f>
        <v/>
      </c>
      <c r="T63">
        <f>J63-1</f>
        <v/>
      </c>
      <c r="U63">
        <f>5-K63</f>
        <v/>
      </c>
      <c r="V63">
        <f>SUM(L63:U63)</f>
        <v/>
      </c>
      <c r="W63">
        <f>V63*2.5</f>
        <v/>
      </c>
      <c r="X63">
        <f>VLOOKUP(A63,Participants!$A$2:$B$86,2,FALSE)</f>
        <v/>
      </c>
    </row>
    <row r="64">
      <c r="A64" t="inlineStr">
        <is>
          <t>user_0121</t>
        </is>
      </c>
      <c r="B64" t="n">
        <v>3</v>
      </c>
      <c r="C64" t="n">
        <v>2</v>
      </c>
      <c r="D64" t="n">
        <v>4</v>
      </c>
      <c r="E64" t="n">
        <v>2</v>
      </c>
      <c r="F64" t="n">
        <v>4</v>
      </c>
      <c r="G64" t="n">
        <v>1</v>
      </c>
      <c r="H64" t="n">
        <v>4</v>
      </c>
      <c r="I64" t="n">
        <v>2</v>
      </c>
      <c r="J64" t="n">
        <v>4</v>
      </c>
      <c r="K64" t="n">
        <v>2</v>
      </c>
      <c r="L64">
        <f>B64-1</f>
        <v/>
      </c>
      <c r="M64">
        <f>5-C64</f>
        <v/>
      </c>
      <c r="N64">
        <f>D64-1</f>
        <v/>
      </c>
      <c r="O64">
        <f>5-E64</f>
        <v/>
      </c>
      <c r="P64">
        <f>F64-1</f>
        <v/>
      </c>
      <c r="Q64">
        <f>5-G64</f>
        <v/>
      </c>
      <c r="R64">
        <f>H64-1</f>
        <v/>
      </c>
      <c r="S64">
        <f>5-I64</f>
        <v/>
      </c>
      <c r="T64">
        <f>J64-1</f>
        <v/>
      </c>
      <c r="U64">
        <f>5-K64</f>
        <v/>
      </c>
      <c r="V64">
        <f>SUM(L64:U64)</f>
        <v/>
      </c>
      <c r="W64">
        <f>V64*2.5</f>
        <v/>
      </c>
      <c r="X64">
        <f>VLOOKUP(A64,Participants!$A$2:$B$86,2,FALSE)</f>
        <v/>
      </c>
    </row>
    <row r="65">
      <c r="A65" t="inlineStr">
        <is>
          <t>user_0123</t>
        </is>
      </c>
      <c r="B65" t="n">
        <v>4.5</v>
      </c>
      <c r="C65" t="n">
        <v>1</v>
      </c>
      <c r="D65" t="n">
        <v>4</v>
      </c>
      <c r="E65" t="n">
        <v>1</v>
      </c>
      <c r="F65" t="n">
        <v>5</v>
      </c>
      <c r="G65" t="n">
        <v>1</v>
      </c>
      <c r="H65" t="n">
        <v>3</v>
      </c>
      <c r="I65" t="n">
        <v>3</v>
      </c>
      <c r="J65" t="n">
        <v>4.5</v>
      </c>
      <c r="K65" t="n">
        <v>1</v>
      </c>
      <c r="L65">
        <f>B65-1</f>
        <v/>
      </c>
      <c r="M65">
        <f>5-C65</f>
        <v/>
      </c>
      <c r="N65">
        <f>D65-1</f>
        <v/>
      </c>
      <c r="O65">
        <f>5-E65</f>
        <v/>
      </c>
      <c r="P65">
        <f>F65-1</f>
        <v/>
      </c>
      <c r="Q65">
        <f>5-G65</f>
        <v/>
      </c>
      <c r="R65">
        <f>H65-1</f>
        <v/>
      </c>
      <c r="S65">
        <f>5-I65</f>
        <v/>
      </c>
      <c r="T65">
        <f>J65-1</f>
        <v/>
      </c>
      <c r="U65">
        <f>5-K65</f>
        <v/>
      </c>
      <c r="V65">
        <f>SUM(L65:U65)</f>
        <v/>
      </c>
      <c r="W65">
        <f>V65*2.5</f>
        <v/>
      </c>
      <c r="X65">
        <f>VLOOKUP(A65,Participants!$A$2:$B$86,2,FALSE)</f>
        <v/>
      </c>
    </row>
    <row r="66">
      <c r="A66" t="inlineStr">
        <is>
          <t>user_0124</t>
        </is>
      </c>
      <c r="B66" t="n">
        <v>3</v>
      </c>
      <c r="C66" t="n">
        <v>1</v>
      </c>
      <c r="D66" t="n">
        <v>3</v>
      </c>
      <c r="E66" t="n">
        <v>1</v>
      </c>
      <c r="F66" t="n">
        <v>3</v>
      </c>
      <c r="G66" t="n">
        <v>1</v>
      </c>
      <c r="H66" t="n">
        <v>3</v>
      </c>
      <c r="I66" t="n">
        <v>1</v>
      </c>
      <c r="J66" t="n">
        <v>3.5</v>
      </c>
      <c r="K66" t="n">
        <v>1</v>
      </c>
      <c r="L66">
        <f>B66-1</f>
        <v/>
      </c>
      <c r="M66">
        <f>5-C66</f>
        <v/>
      </c>
      <c r="N66">
        <f>D66-1</f>
        <v/>
      </c>
      <c r="O66">
        <f>5-E66</f>
        <v/>
      </c>
      <c r="P66">
        <f>F66-1</f>
        <v/>
      </c>
      <c r="Q66">
        <f>5-G66</f>
        <v/>
      </c>
      <c r="R66">
        <f>H66-1</f>
        <v/>
      </c>
      <c r="S66">
        <f>5-I66</f>
        <v/>
      </c>
      <c r="T66">
        <f>J66-1</f>
        <v/>
      </c>
      <c r="U66">
        <f>5-K66</f>
        <v/>
      </c>
      <c r="V66">
        <f>SUM(L66:U66)</f>
        <v/>
      </c>
      <c r="W66">
        <f>V66*2.5</f>
        <v/>
      </c>
      <c r="X66">
        <f>VLOOKUP(A66,Participants!$A$2:$B$86,2,FALSE)</f>
        <v/>
      </c>
    </row>
    <row r="67">
      <c r="A67" t="inlineStr">
        <is>
          <t>user_0125</t>
        </is>
      </c>
      <c r="B67" t="n">
        <v>2.5</v>
      </c>
      <c r="C67" t="n">
        <v>2.5</v>
      </c>
      <c r="D67" t="n">
        <v>4</v>
      </c>
      <c r="E67" t="n">
        <v>1</v>
      </c>
      <c r="F67" t="n">
        <v>4.5</v>
      </c>
      <c r="G67" t="n">
        <v>1.5</v>
      </c>
      <c r="H67" t="n">
        <v>5</v>
      </c>
      <c r="I67" t="n">
        <v>1</v>
      </c>
      <c r="J67" t="n">
        <v>3.5</v>
      </c>
      <c r="K67" t="n">
        <v>1</v>
      </c>
      <c r="L67">
        <f>B67-1</f>
        <v/>
      </c>
      <c r="M67">
        <f>5-C67</f>
        <v/>
      </c>
      <c r="N67">
        <f>D67-1</f>
        <v/>
      </c>
      <c r="O67">
        <f>5-E67</f>
        <v/>
      </c>
      <c r="P67">
        <f>F67-1</f>
        <v/>
      </c>
      <c r="Q67">
        <f>5-G67</f>
        <v/>
      </c>
      <c r="R67">
        <f>H67-1</f>
        <v/>
      </c>
      <c r="S67">
        <f>5-I67</f>
        <v/>
      </c>
      <c r="T67">
        <f>J67-1</f>
        <v/>
      </c>
      <c r="U67">
        <f>5-K67</f>
        <v/>
      </c>
      <c r="V67">
        <f>SUM(L67:U67)</f>
        <v/>
      </c>
      <c r="W67">
        <f>V67*2.5</f>
        <v/>
      </c>
      <c r="X67">
        <f>VLOOKUP(A67,Participants!$A$2:$B$86,2,FALSE)</f>
        <v/>
      </c>
    </row>
    <row r="68">
      <c r="A68" t="inlineStr">
        <is>
          <t>user_0126</t>
        </is>
      </c>
      <c r="B68" t="n">
        <v>4.5</v>
      </c>
      <c r="C68" t="n">
        <v>1.5</v>
      </c>
      <c r="D68" t="n">
        <v>4.5</v>
      </c>
      <c r="E68" t="n">
        <v>1.5</v>
      </c>
      <c r="F68" t="n">
        <v>5</v>
      </c>
      <c r="G68" t="n">
        <v>1</v>
      </c>
      <c r="H68" t="n">
        <v>3</v>
      </c>
      <c r="I68" t="n">
        <v>1.5</v>
      </c>
      <c r="J68" t="n">
        <v>4.5</v>
      </c>
      <c r="K68" t="n">
        <v>1</v>
      </c>
      <c r="L68">
        <f>B68-1</f>
        <v/>
      </c>
      <c r="M68">
        <f>5-C68</f>
        <v/>
      </c>
      <c r="N68">
        <f>D68-1</f>
        <v/>
      </c>
      <c r="O68">
        <f>5-E68</f>
        <v/>
      </c>
      <c r="P68">
        <f>F68-1</f>
        <v/>
      </c>
      <c r="Q68">
        <f>5-G68</f>
        <v/>
      </c>
      <c r="R68">
        <f>H68-1</f>
        <v/>
      </c>
      <c r="S68">
        <f>5-I68</f>
        <v/>
      </c>
      <c r="T68">
        <f>J68-1</f>
        <v/>
      </c>
      <c r="U68">
        <f>5-K68</f>
        <v/>
      </c>
      <c r="V68">
        <f>SUM(L68:U68)</f>
        <v/>
      </c>
      <c r="W68">
        <f>V68*2.5</f>
        <v/>
      </c>
      <c r="X68">
        <f>VLOOKUP(A68,Participants!$A$2:$B$86,2,FALSE)</f>
        <v/>
      </c>
    </row>
    <row r="69">
      <c r="A69" t="inlineStr">
        <is>
          <t>user_0127</t>
        </is>
      </c>
      <c r="B69" t="n">
        <v>5</v>
      </c>
      <c r="C69" t="n">
        <v>1</v>
      </c>
      <c r="D69" t="n">
        <v>4.5</v>
      </c>
      <c r="E69" t="n">
        <v>1</v>
      </c>
      <c r="F69" t="n">
        <v>5</v>
      </c>
      <c r="G69" t="n">
        <v>1.5</v>
      </c>
      <c r="H69" t="n">
        <v>4.5</v>
      </c>
      <c r="I69" t="n">
        <v>1</v>
      </c>
      <c r="J69" t="n">
        <v>5</v>
      </c>
      <c r="K69" t="n">
        <v>1.5</v>
      </c>
      <c r="L69">
        <f>B69-1</f>
        <v/>
      </c>
      <c r="M69">
        <f>5-C69</f>
        <v/>
      </c>
      <c r="N69">
        <f>D69-1</f>
        <v/>
      </c>
      <c r="O69">
        <f>5-E69</f>
        <v/>
      </c>
      <c r="P69">
        <f>F69-1</f>
        <v/>
      </c>
      <c r="Q69">
        <f>5-G69</f>
        <v/>
      </c>
      <c r="R69">
        <f>H69-1</f>
        <v/>
      </c>
      <c r="S69">
        <f>5-I69</f>
        <v/>
      </c>
      <c r="T69">
        <f>J69-1</f>
        <v/>
      </c>
      <c r="U69">
        <f>5-K69</f>
        <v/>
      </c>
      <c r="V69">
        <f>SUM(L69:U69)</f>
        <v/>
      </c>
      <c r="W69">
        <f>V69*2.5</f>
        <v/>
      </c>
      <c r="X69">
        <f>VLOOKUP(A69,Participants!$A$2:$B$86,2,FALSE)</f>
        <v/>
      </c>
    </row>
    <row r="70">
      <c r="A70" t="inlineStr">
        <is>
          <t>user_0128</t>
        </is>
      </c>
      <c r="B70" t="n">
        <v>4.5</v>
      </c>
      <c r="C70" t="n">
        <v>1.5</v>
      </c>
      <c r="D70" t="n">
        <v>4</v>
      </c>
      <c r="E70" t="n">
        <v>1.5</v>
      </c>
      <c r="F70" t="n">
        <v>4</v>
      </c>
      <c r="G70" t="n">
        <v>1</v>
      </c>
      <c r="H70" t="n">
        <v>4</v>
      </c>
      <c r="I70" t="n">
        <v>1</v>
      </c>
      <c r="J70" t="n">
        <v>4</v>
      </c>
      <c r="K70" t="n">
        <v>1</v>
      </c>
      <c r="L70">
        <f>B70-1</f>
        <v/>
      </c>
      <c r="M70">
        <f>5-C70</f>
        <v/>
      </c>
      <c r="N70">
        <f>D70-1</f>
        <v/>
      </c>
      <c r="O70">
        <f>5-E70</f>
        <v/>
      </c>
      <c r="P70">
        <f>F70-1</f>
        <v/>
      </c>
      <c r="Q70">
        <f>5-G70</f>
        <v/>
      </c>
      <c r="R70">
        <f>H70-1</f>
        <v/>
      </c>
      <c r="S70">
        <f>5-I70</f>
        <v/>
      </c>
      <c r="T70">
        <f>J70-1</f>
        <v/>
      </c>
      <c r="U70">
        <f>5-K70</f>
        <v/>
      </c>
      <c r="V70">
        <f>SUM(L70:U70)</f>
        <v/>
      </c>
      <c r="W70">
        <f>V70*2.5</f>
        <v/>
      </c>
      <c r="X70">
        <f>VLOOKUP(A70,Participants!$A$2:$B$86,2,FALSE)</f>
        <v/>
      </c>
    </row>
    <row r="71">
      <c r="A71" t="inlineStr">
        <is>
          <t>user_0129</t>
        </is>
      </c>
      <c r="B71" t="n">
        <v>2</v>
      </c>
      <c r="C71" t="n">
        <v>2</v>
      </c>
      <c r="D71" t="n">
        <v>4.5</v>
      </c>
      <c r="E71" t="n">
        <v>1</v>
      </c>
      <c r="F71" t="n">
        <v>4.5</v>
      </c>
      <c r="G71" t="n">
        <v>1.5</v>
      </c>
      <c r="H71" t="n">
        <v>4</v>
      </c>
      <c r="I71" t="n">
        <v>1.5</v>
      </c>
      <c r="J71" t="n">
        <v>4.5</v>
      </c>
      <c r="K71" t="n">
        <v>1.5</v>
      </c>
      <c r="L71">
        <f>B71-1</f>
        <v/>
      </c>
      <c r="M71">
        <f>5-C71</f>
        <v/>
      </c>
      <c r="N71">
        <f>D71-1</f>
        <v/>
      </c>
      <c r="O71">
        <f>5-E71</f>
        <v/>
      </c>
      <c r="P71">
        <f>F71-1</f>
        <v/>
      </c>
      <c r="Q71">
        <f>5-G71</f>
        <v/>
      </c>
      <c r="R71">
        <f>H71-1</f>
        <v/>
      </c>
      <c r="S71">
        <f>5-I71</f>
        <v/>
      </c>
      <c r="T71">
        <f>J71-1</f>
        <v/>
      </c>
      <c r="U71">
        <f>5-K71</f>
        <v/>
      </c>
      <c r="V71">
        <f>SUM(L71:U71)</f>
        <v/>
      </c>
      <c r="W71">
        <f>V71*2.5</f>
        <v/>
      </c>
      <c r="X71">
        <f>VLOOKUP(A71,Participants!$A$2:$B$86,2,FALSE)</f>
        <v/>
      </c>
    </row>
    <row r="72">
      <c r="A72" t="inlineStr">
        <is>
          <t>user_0130</t>
        </is>
      </c>
      <c r="B72" t="n">
        <v>3</v>
      </c>
      <c r="C72" t="n">
        <v>2</v>
      </c>
      <c r="D72" t="n">
        <v>4</v>
      </c>
      <c r="E72" t="n">
        <v>2</v>
      </c>
      <c r="F72" t="n">
        <v>4</v>
      </c>
      <c r="G72" t="n">
        <v>2</v>
      </c>
      <c r="H72" t="n">
        <v>4</v>
      </c>
      <c r="I72" t="n">
        <v>2</v>
      </c>
      <c r="J72" t="n">
        <v>4</v>
      </c>
      <c r="K72" t="n">
        <v>2</v>
      </c>
      <c r="L72">
        <f>B72-1</f>
        <v/>
      </c>
      <c r="M72">
        <f>5-C72</f>
        <v/>
      </c>
      <c r="N72">
        <f>D72-1</f>
        <v/>
      </c>
      <c r="O72">
        <f>5-E72</f>
        <v/>
      </c>
      <c r="P72">
        <f>F72-1</f>
        <v/>
      </c>
      <c r="Q72">
        <f>5-G72</f>
        <v/>
      </c>
      <c r="R72">
        <f>H72-1</f>
        <v/>
      </c>
      <c r="S72">
        <f>5-I72</f>
        <v/>
      </c>
      <c r="T72">
        <f>J72-1</f>
        <v/>
      </c>
      <c r="U72">
        <f>5-K72</f>
        <v/>
      </c>
      <c r="V72">
        <f>SUM(L72:U72)</f>
        <v/>
      </c>
      <c r="W72">
        <f>V72*2.5</f>
        <v/>
      </c>
      <c r="X72">
        <f>VLOOKUP(A72,Participants!$A$2:$B$86,2,FALSE)</f>
        <v/>
      </c>
    </row>
    <row r="73">
      <c r="A73" t="inlineStr">
        <is>
          <t>user_0131</t>
        </is>
      </c>
      <c r="B73" t="n">
        <v>2</v>
      </c>
      <c r="C73" t="n">
        <v>3</v>
      </c>
      <c r="D73" t="n">
        <v>2</v>
      </c>
      <c r="E73" t="n">
        <v>2.5</v>
      </c>
      <c r="F73" t="n">
        <v>3</v>
      </c>
      <c r="G73" t="n">
        <v>3</v>
      </c>
      <c r="H73" t="n">
        <v>3.5</v>
      </c>
      <c r="I73" t="n">
        <v>2.5</v>
      </c>
      <c r="J73" t="n">
        <v>3</v>
      </c>
      <c r="K73" t="n">
        <v>2.5</v>
      </c>
      <c r="L73">
        <f>B73-1</f>
        <v/>
      </c>
      <c r="M73">
        <f>5-C73</f>
        <v/>
      </c>
      <c r="N73">
        <f>D73-1</f>
        <v/>
      </c>
      <c r="O73">
        <f>5-E73</f>
        <v/>
      </c>
      <c r="P73">
        <f>F73-1</f>
        <v/>
      </c>
      <c r="Q73">
        <f>5-G73</f>
        <v/>
      </c>
      <c r="R73">
        <f>H73-1</f>
        <v/>
      </c>
      <c r="S73">
        <f>5-I73</f>
        <v/>
      </c>
      <c r="T73">
        <f>J73-1</f>
        <v/>
      </c>
      <c r="U73">
        <f>5-K73</f>
        <v/>
      </c>
      <c r="V73">
        <f>SUM(L73:U73)</f>
        <v/>
      </c>
      <c r="W73">
        <f>V73*2.5</f>
        <v/>
      </c>
      <c r="X73">
        <f>VLOOKUP(A73,Participants!$A$2:$B$86,2,FALSE)</f>
        <v/>
      </c>
    </row>
    <row r="74">
      <c r="A74" t="inlineStr">
        <is>
          <t>user_0132</t>
        </is>
      </c>
      <c r="B74" t="n">
        <v>4</v>
      </c>
      <c r="C74" t="n">
        <v>2</v>
      </c>
      <c r="D74" t="n">
        <v>3</v>
      </c>
      <c r="E74" t="n">
        <v>1</v>
      </c>
      <c r="F74" t="n">
        <v>4</v>
      </c>
      <c r="G74" t="n">
        <v>1.5</v>
      </c>
      <c r="H74" t="n">
        <v>3</v>
      </c>
      <c r="I74" t="n">
        <v>2.5</v>
      </c>
      <c r="J74" t="n">
        <v>3.5</v>
      </c>
      <c r="K74" t="n">
        <v>2</v>
      </c>
      <c r="L74">
        <f>B74-1</f>
        <v/>
      </c>
      <c r="M74">
        <f>5-C74</f>
        <v/>
      </c>
      <c r="N74">
        <f>D74-1</f>
        <v/>
      </c>
      <c r="O74">
        <f>5-E74</f>
        <v/>
      </c>
      <c r="P74">
        <f>F74-1</f>
        <v/>
      </c>
      <c r="Q74">
        <f>5-G74</f>
        <v/>
      </c>
      <c r="R74">
        <f>H74-1</f>
        <v/>
      </c>
      <c r="S74">
        <f>5-I74</f>
        <v/>
      </c>
      <c r="T74">
        <f>J74-1</f>
        <v/>
      </c>
      <c r="U74">
        <f>5-K74</f>
        <v/>
      </c>
      <c r="V74">
        <f>SUM(L74:U74)</f>
        <v/>
      </c>
      <c r="W74">
        <f>V74*2.5</f>
        <v/>
      </c>
      <c r="X74">
        <f>VLOOKUP(A74,Participants!$A$2:$B$86,2,FALSE)</f>
        <v/>
      </c>
    </row>
    <row r="75">
      <c r="A75" t="inlineStr">
        <is>
          <t>user_0133</t>
        </is>
      </c>
      <c r="B75" t="n">
        <v>4</v>
      </c>
      <c r="C75" t="n">
        <v>2</v>
      </c>
      <c r="D75" t="n">
        <v>4</v>
      </c>
      <c r="E75" t="n">
        <v>3</v>
      </c>
      <c r="F75" t="n">
        <v>4</v>
      </c>
      <c r="G75" t="n">
        <v>2</v>
      </c>
      <c r="H75" t="n">
        <v>3.5</v>
      </c>
      <c r="I75" t="n">
        <v>2</v>
      </c>
      <c r="J75" t="n">
        <v>3</v>
      </c>
      <c r="K75" t="n">
        <v>2.5</v>
      </c>
      <c r="L75">
        <f>B75-1</f>
        <v/>
      </c>
      <c r="M75">
        <f>5-C75</f>
        <v/>
      </c>
      <c r="N75">
        <f>D75-1</f>
        <v/>
      </c>
      <c r="O75">
        <f>5-E75</f>
        <v/>
      </c>
      <c r="P75">
        <f>F75-1</f>
        <v/>
      </c>
      <c r="Q75">
        <f>5-G75</f>
        <v/>
      </c>
      <c r="R75">
        <f>H75-1</f>
        <v/>
      </c>
      <c r="S75">
        <f>5-I75</f>
        <v/>
      </c>
      <c r="T75">
        <f>J75-1</f>
        <v/>
      </c>
      <c r="U75">
        <f>5-K75</f>
        <v/>
      </c>
      <c r="V75">
        <f>SUM(L75:U75)</f>
        <v/>
      </c>
      <c r="W75">
        <f>V75*2.5</f>
        <v/>
      </c>
      <c r="X75">
        <f>VLOOKUP(A75,Participants!$A$2:$B$86,2,FALSE)</f>
        <v/>
      </c>
    </row>
    <row r="76">
      <c r="A76" t="inlineStr">
        <is>
          <t>user_0134</t>
        </is>
      </c>
      <c r="B76" t="n">
        <v>4</v>
      </c>
      <c r="C76" t="n">
        <v>1.5</v>
      </c>
      <c r="D76" t="n">
        <v>4</v>
      </c>
      <c r="E76" t="n">
        <v>1</v>
      </c>
      <c r="F76" t="n">
        <v>3</v>
      </c>
      <c r="G76" t="n">
        <v>2.5</v>
      </c>
      <c r="H76" t="n">
        <v>5</v>
      </c>
      <c r="I76" t="n">
        <v>2</v>
      </c>
      <c r="J76" t="n">
        <v>4.5</v>
      </c>
      <c r="K76" t="n">
        <v>1</v>
      </c>
      <c r="L76">
        <f>B76-1</f>
        <v/>
      </c>
      <c r="M76">
        <f>5-C76</f>
        <v/>
      </c>
      <c r="N76">
        <f>D76-1</f>
        <v/>
      </c>
      <c r="O76">
        <f>5-E76</f>
        <v/>
      </c>
      <c r="P76">
        <f>F76-1</f>
        <v/>
      </c>
      <c r="Q76">
        <f>5-G76</f>
        <v/>
      </c>
      <c r="R76">
        <f>H76-1</f>
        <v/>
      </c>
      <c r="S76">
        <f>5-I76</f>
        <v/>
      </c>
      <c r="T76">
        <f>J76-1</f>
        <v/>
      </c>
      <c r="U76">
        <f>5-K76</f>
        <v/>
      </c>
      <c r="V76">
        <f>SUM(L76:U76)</f>
        <v/>
      </c>
      <c r="W76">
        <f>V76*2.5</f>
        <v/>
      </c>
      <c r="X76">
        <f>VLOOKUP(A76,Participants!$A$2:$B$86,2,FALSE)</f>
        <v/>
      </c>
    </row>
    <row r="77">
      <c r="A77" t="inlineStr">
        <is>
          <t>user_0150</t>
        </is>
      </c>
      <c r="B77" t="n">
        <v>4.5</v>
      </c>
      <c r="C77" t="n">
        <v>1.5</v>
      </c>
      <c r="D77" t="n">
        <v>4</v>
      </c>
      <c r="E77" t="n">
        <v>1.5</v>
      </c>
      <c r="F77" t="n">
        <v>4</v>
      </c>
      <c r="G77" t="n">
        <v>2</v>
      </c>
      <c r="H77" t="n">
        <v>4.5</v>
      </c>
      <c r="I77" t="n">
        <v>2</v>
      </c>
      <c r="J77" t="n">
        <v>3.5</v>
      </c>
      <c r="K77" t="n">
        <v>1.5</v>
      </c>
      <c r="L77">
        <f>B77-1</f>
        <v/>
      </c>
      <c r="M77">
        <f>5-C77</f>
        <v/>
      </c>
      <c r="N77">
        <f>D77-1</f>
        <v/>
      </c>
      <c r="O77">
        <f>5-E77</f>
        <v/>
      </c>
      <c r="P77">
        <f>F77-1</f>
        <v/>
      </c>
      <c r="Q77">
        <f>5-G77</f>
        <v/>
      </c>
      <c r="R77">
        <f>H77-1</f>
        <v/>
      </c>
      <c r="S77">
        <f>5-I77</f>
        <v/>
      </c>
      <c r="T77">
        <f>J77-1</f>
        <v/>
      </c>
      <c r="U77">
        <f>5-K77</f>
        <v/>
      </c>
      <c r="V77">
        <f>SUM(L77:U77)</f>
        <v/>
      </c>
      <c r="W77">
        <f>V77*2.5</f>
        <v/>
      </c>
      <c r="X77">
        <f>VLOOKUP(A77,Participants!$A$2:$B$86,2,FALSE)</f>
        <v/>
      </c>
    </row>
    <row r="78">
      <c r="A78" t="inlineStr">
        <is>
          <t>user_0152</t>
        </is>
      </c>
      <c r="B78" t="n">
        <v>5</v>
      </c>
      <c r="C78" t="n">
        <v>2</v>
      </c>
      <c r="D78" t="n">
        <v>4.5</v>
      </c>
      <c r="E78" t="n">
        <v>1</v>
      </c>
      <c r="F78" t="n">
        <v>4.5</v>
      </c>
      <c r="G78" t="n">
        <v>2</v>
      </c>
      <c r="H78" t="n">
        <v>4</v>
      </c>
      <c r="I78" t="n">
        <v>1.5</v>
      </c>
      <c r="J78" t="n">
        <v>4.5</v>
      </c>
      <c r="K78" t="n">
        <v>1.5</v>
      </c>
      <c r="L78">
        <f>B78-1</f>
        <v/>
      </c>
      <c r="M78">
        <f>5-C78</f>
        <v/>
      </c>
      <c r="N78">
        <f>D78-1</f>
        <v/>
      </c>
      <c r="O78">
        <f>5-E78</f>
        <v/>
      </c>
      <c r="P78">
        <f>F78-1</f>
        <v/>
      </c>
      <c r="Q78">
        <f>5-G78</f>
        <v/>
      </c>
      <c r="R78">
        <f>H78-1</f>
        <v/>
      </c>
      <c r="S78">
        <f>5-I78</f>
        <v/>
      </c>
      <c r="T78">
        <f>J78-1</f>
        <v/>
      </c>
      <c r="U78">
        <f>5-K78</f>
        <v/>
      </c>
      <c r="V78">
        <f>SUM(L78:U78)</f>
        <v/>
      </c>
      <c r="W78">
        <f>V78*2.5</f>
        <v/>
      </c>
      <c r="X78">
        <f>VLOOKUP(A78,Participants!$A$2:$B$86,2,FALSE)</f>
        <v/>
      </c>
    </row>
    <row r="79">
      <c r="A79" t="inlineStr">
        <is>
          <t>user_0153</t>
        </is>
      </c>
      <c r="B79" t="n">
        <v>2</v>
      </c>
      <c r="C79" t="n">
        <v>1</v>
      </c>
      <c r="D79" t="n">
        <v>4.5</v>
      </c>
      <c r="E79" t="n">
        <v>2</v>
      </c>
      <c r="F79" t="n">
        <v>2.5</v>
      </c>
      <c r="G79" t="n">
        <v>3.5</v>
      </c>
      <c r="H79" t="n">
        <v>3</v>
      </c>
      <c r="I79" t="n">
        <v>2</v>
      </c>
      <c r="J79" t="n">
        <v>1</v>
      </c>
      <c r="K79" t="n">
        <v>2</v>
      </c>
      <c r="L79">
        <f>B79-1</f>
        <v/>
      </c>
      <c r="M79">
        <f>5-C79</f>
        <v/>
      </c>
      <c r="N79">
        <f>D79-1</f>
        <v/>
      </c>
      <c r="O79">
        <f>5-E79</f>
        <v/>
      </c>
      <c r="P79">
        <f>F79-1</f>
        <v/>
      </c>
      <c r="Q79">
        <f>5-G79</f>
        <v/>
      </c>
      <c r="R79">
        <f>H79-1</f>
        <v/>
      </c>
      <c r="S79">
        <f>5-I79</f>
        <v/>
      </c>
      <c r="T79">
        <f>J79-1</f>
        <v/>
      </c>
      <c r="U79">
        <f>5-K79</f>
        <v/>
      </c>
      <c r="V79">
        <f>SUM(L79:U79)</f>
        <v/>
      </c>
      <c r="W79">
        <f>V79*2.5</f>
        <v/>
      </c>
      <c r="X79">
        <f>VLOOKUP(A79,Participants!$A$2:$B$86,2,FALSE)</f>
        <v/>
      </c>
    </row>
    <row r="80">
      <c r="A80" t="inlineStr">
        <is>
          <t>user_0158</t>
        </is>
      </c>
      <c r="B80" t="n">
        <v>1</v>
      </c>
      <c r="C80" t="n">
        <v>4.5</v>
      </c>
      <c r="D80" t="n">
        <v>2</v>
      </c>
      <c r="E80" t="n">
        <v>2.5</v>
      </c>
      <c r="F80" t="n">
        <v>2.5</v>
      </c>
      <c r="G80" t="n">
        <v>3.5</v>
      </c>
      <c r="H80" t="n">
        <v>2</v>
      </c>
      <c r="I80" t="n">
        <v>3.5</v>
      </c>
      <c r="J80" t="n">
        <v>2</v>
      </c>
      <c r="K80" t="n">
        <v>1</v>
      </c>
      <c r="L80">
        <f>B80-1</f>
        <v/>
      </c>
      <c r="M80">
        <f>5-C80</f>
        <v/>
      </c>
      <c r="N80">
        <f>D80-1</f>
        <v/>
      </c>
      <c r="O80">
        <f>5-E80</f>
        <v/>
      </c>
      <c r="P80">
        <f>F80-1</f>
        <v/>
      </c>
      <c r="Q80">
        <f>5-G80</f>
        <v/>
      </c>
      <c r="R80">
        <f>H80-1</f>
        <v/>
      </c>
      <c r="S80">
        <f>5-I80</f>
        <v/>
      </c>
      <c r="T80">
        <f>J80-1</f>
        <v/>
      </c>
      <c r="U80">
        <f>5-K80</f>
        <v/>
      </c>
      <c r="V80">
        <f>SUM(L80:U80)</f>
        <v/>
      </c>
      <c r="W80">
        <f>V80*2.5</f>
        <v/>
      </c>
      <c r="X80">
        <f>VLOOKUP(A80,Participants!$A$2:$B$86,2,FALSE)</f>
        <v/>
      </c>
    </row>
    <row r="81">
      <c r="A81" t="inlineStr">
        <is>
          <t>user_0170</t>
        </is>
      </c>
      <c r="B81" t="n">
        <v>3.5</v>
      </c>
      <c r="C81" t="n">
        <v>2</v>
      </c>
      <c r="D81" t="n">
        <v>4</v>
      </c>
      <c r="E81" t="n">
        <v>2.5</v>
      </c>
      <c r="F81" t="n">
        <v>4</v>
      </c>
      <c r="G81" t="n">
        <v>1.5</v>
      </c>
      <c r="H81" t="n">
        <v>4</v>
      </c>
      <c r="I81" t="n">
        <v>1.5</v>
      </c>
      <c r="J81" t="n">
        <v>3.5</v>
      </c>
      <c r="K81" t="n">
        <v>2</v>
      </c>
      <c r="L81">
        <f>B81-1</f>
        <v/>
      </c>
      <c r="M81">
        <f>5-C81</f>
        <v/>
      </c>
      <c r="N81">
        <f>D81-1</f>
        <v/>
      </c>
      <c r="O81">
        <f>5-E81</f>
        <v/>
      </c>
      <c r="P81">
        <f>F81-1</f>
        <v/>
      </c>
      <c r="Q81">
        <f>5-G81</f>
        <v/>
      </c>
      <c r="R81">
        <f>H81-1</f>
        <v/>
      </c>
      <c r="S81">
        <f>5-I81</f>
        <v/>
      </c>
      <c r="T81">
        <f>J81-1</f>
        <v/>
      </c>
      <c r="U81">
        <f>5-K81</f>
        <v/>
      </c>
      <c r="V81">
        <f>SUM(L81:U81)</f>
        <v/>
      </c>
      <c r="W81">
        <f>V81*2.5</f>
        <v/>
      </c>
      <c r="X81">
        <f>VLOOKUP(A81,Participants!$A$2:$B$86,2,FALSE)</f>
        <v/>
      </c>
    </row>
    <row r="82">
      <c r="A82" t="inlineStr">
        <is>
          <t>user_0171</t>
        </is>
      </c>
      <c r="B82" t="n">
        <v>4</v>
      </c>
      <c r="C82" t="n">
        <v>1</v>
      </c>
      <c r="D82" t="n">
        <v>3.5</v>
      </c>
      <c r="E82" t="n">
        <v>1</v>
      </c>
      <c r="F82" t="n">
        <v>4</v>
      </c>
      <c r="G82" t="n">
        <v>1</v>
      </c>
      <c r="H82" t="n">
        <v>4</v>
      </c>
      <c r="I82" t="n">
        <v>1</v>
      </c>
      <c r="J82" t="n">
        <v>3.5</v>
      </c>
      <c r="K82" t="n">
        <v>1</v>
      </c>
      <c r="L82">
        <f>B82-1</f>
        <v/>
      </c>
      <c r="M82">
        <f>5-C82</f>
        <v/>
      </c>
      <c r="N82">
        <f>D82-1</f>
        <v/>
      </c>
      <c r="O82">
        <f>5-E82</f>
        <v/>
      </c>
      <c r="P82">
        <f>F82-1</f>
        <v/>
      </c>
      <c r="Q82">
        <f>5-G82</f>
        <v/>
      </c>
      <c r="R82">
        <f>H82-1</f>
        <v/>
      </c>
      <c r="S82">
        <f>5-I82</f>
        <v/>
      </c>
      <c r="T82">
        <f>J82-1</f>
        <v/>
      </c>
      <c r="U82">
        <f>5-K82</f>
        <v/>
      </c>
      <c r="V82">
        <f>SUM(L82:U82)</f>
        <v/>
      </c>
      <c r="W82">
        <f>V82*2.5</f>
        <v/>
      </c>
      <c r="X82">
        <f>VLOOKUP(A82,Participants!$A$2:$B$86,2,FALSE)</f>
        <v/>
      </c>
    </row>
    <row r="83">
      <c r="A83" t="inlineStr">
        <is>
          <t>user_0201</t>
        </is>
      </c>
      <c r="B83" t="n">
        <v>4</v>
      </c>
      <c r="C83" t="n">
        <v>1</v>
      </c>
      <c r="D83" t="n">
        <v>4.5</v>
      </c>
      <c r="E83" t="n">
        <v>1.5</v>
      </c>
      <c r="F83" t="n">
        <v>5</v>
      </c>
      <c r="G83" t="n">
        <v>1</v>
      </c>
      <c r="H83" t="n">
        <v>5</v>
      </c>
      <c r="I83" t="n">
        <v>1</v>
      </c>
      <c r="J83" t="n">
        <v>5</v>
      </c>
      <c r="K83" t="n">
        <v>2</v>
      </c>
      <c r="L83">
        <f>B83-1</f>
        <v/>
      </c>
      <c r="M83">
        <f>5-C83</f>
        <v/>
      </c>
      <c r="N83">
        <f>D83-1</f>
        <v/>
      </c>
      <c r="O83">
        <f>5-E83</f>
        <v/>
      </c>
      <c r="P83">
        <f>F83-1</f>
        <v/>
      </c>
      <c r="Q83">
        <f>5-G83</f>
        <v/>
      </c>
      <c r="R83">
        <f>H83-1</f>
        <v/>
      </c>
      <c r="S83">
        <f>5-I83</f>
        <v/>
      </c>
      <c r="T83">
        <f>J83-1</f>
        <v/>
      </c>
      <c r="U83">
        <f>5-K83</f>
        <v/>
      </c>
      <c r="V83">
        <f>SUM(L83:U83)</f>
        <v/>
      </c>
      <c r="W83">
        <f>V83*2.5</f>
        <v/>
      </c>
      <c r="X83">
        <f>VLOOKUP(A83,Participants!$A$2:$B$86,2,FALSE)</f>
        <v/>
      </c>
    </row>
    <row r="84">
      <c r="A84" t="inlineStr">
        <is>
          <t>user_0203</t>
        </is>
      </c>
      <c r="B84" t="n">
        <v>3</v>
      </c>
      <c r="C84" t="n">
        <v>2.5</v>
      </c>
      <c r="D84" t="n">
        <v>2.5</v>
      </c>
      <c r="E84" t="n">
        <v>4.5</v>
      </c>
      <c r="F84" t="n">
        <v>4</v>
      </c>
      <c r="G84" t="n">
        <v>1</v>
      </c>
      <c r="H84" t="n">
        <v>1</v>
      </c>
      <c r="I84" t="n">
        <v>2.5</v>
      </c>
      <c r="J84" t="n">
        <v>2</v>
      </c>
      <c r="K84" t="n">
        <v>1</v>
      </c>
      <c r="L84">
        <f>B84-1</f>
        <v/>
      </c>
      <c r="M84">
        <f>5-C84</f>
        <v/>
      </c>
      <c r="N84">
        <f>D84-1</f>
        <v/>
      </c>
      <c r="O84">
        <f>5-E84</f>
        <v/>
      </c>
      <c r="P84">
        <f>F84-1</f>
        <v/>
      </c>
      <c r="Q84">
        <f>5-G84</f>
        <v/>
      </c>
      <c r="R84">
        <f>H84-1</f>
        <v/>
      </c>
      <c r="S84">
        <f>5-I84</f>
        <v/>
      </c>
      <c r="T84">
        <f>J84-1</f>
        <v/>
      </c>
      <c r="U84">
        <f>5-K84</f>
        <v/>
      </c>
      <c r="V84">
        <f>SUM(L84:U84)</f>
        <v/>
      </c>
      <c r="W84">
        <f>V84*2.5</f>
        <v/>
      </c>
      <c r="X84">
        <f>VLOOKUP(A84,Participants!$A$2:$B$86,2,FALSE)</f>
        <v/>
      </c>
    </row>
    <row r="85">
      <c r="A85" t="inlineStr">
        <is>
          <t>user_0204</t>
        </is>
      </c>
      <c r="B85" t="n">
        <v>2.5</v>
      </c>
      <c r="C85" t="n">
        <v>3</v>
      </c>
      <c r="D85" t="n">
        <v>4.5</v>
      </c>
      <c r="E85" t="n">
        <v>1.5</v>
      </c>
      <c r="F85" t="n">
        <v>4</v>
      </c>
      <c r="G85" t="n">
        <v>1</v>
      </c>
      <c r="H85" t="n">
        <v>4</v>
      </c>
      <c r="I85" t="n">
        <v>1</v>
      </c>
      <c r="J85" t="n">
        <v>3</v>
      </c>
      <c r="K85" t="n">
        <v>1</v>
      </c>
      <c r="L85">
        <f>B85-1</f>
        <v/>
      </c>
      <c r="M85">
        <f>5-C85</f>
        <v/>
      </c>
      <c r="N85">
        <f>D85-1</f>
        <v/>
      </c>
      <c r="O85">
        <f>5-E85</f>
        <v/>
      </c>
      <c r="P85">
        <f>F85-1</f>
        <v/>
      </c>
      <c r="Q85">
        <f>5-G85</f>
        <v/>
      </c>
      <c r="R85">
        <f>H85-1</f>
        <v/>
      </c>
      <c r="S85">
        <f>5-I85</f>
        <v/>
      </c>
      <c r="T85">
        <f>J85-1</f>
        <v/>
      </c>
      <c r="U85">
        <f>5-K85</f>
        <v/>
      </c>
      <c r="V85">
        <f>SUM(L85:U85)</f>
        <v/>
      </c>
      <c r="W85">
        <f>V85*2.5</f>
        <v/>
      </c>
      <c r="X85">
        <f>VLOOKUP(A85,Participants!$A$2:$B$86,2,FALSE)</f>
        <v/>
      </c>
    </row>
    <row r="86">
      <c r="A86" t="inlineStr">
        <is>
          <t>user_0205</t>
        </is>
      </c>
      <c r="B86" t="n">
        <v>4</v>
      </c>
      <c r="C86" t="n">
        <v>1.5</v>
      </c>
      <c r="D86" t="n">
        <v>4.5</v>
      </c>
      <c r="E86" t="n">
        <v>1.5</v>
      </c>
      <c r="F86" t="n">
        <v>4</v>
      </c>
      <c r="G86" t="n">
        <v>3</v>
      </c>
      <c r="H86" t="n">
        <v>5</v>
      </c>
      <c r="I86" t="n">
        <v>2.5</v>
      </c>
      <c r="J86" t="n">
        <v>4.5</v>
      </c>
      <c r="K86" t="n">
        <v>1</v>
      </c>
      <c r="L86">
        <f>B86-1</f>
        <v/>
      </c>
      <c r="M86">
        <f>5-C86</f>
        <v/>
      </c>
      <c r="N86">
        <f>D86-1</f>
        <v/>
      </c>
      <c r="O86">
        <f>5-E86</f>
        <v/>
      </c>
      <c r="P86">
        <f>F86-1</f>
        <v/>
      </c>
      <c r="Q86">
        <f>5-G86</f>
        <v/>
      </c>
      <c r="R86">
        <f>H86-1</f>
        <v/>
      </c>
      <c r="S86">
        <f>5-I86</f>
        <v/>
      </c>
      <c r="T86">
        <f>J86-1</f>
        <v/>
      </c>
      <c r="U86">
        <f>5-K86</f>
        <v/>
      </c>
      <c r="V86">
        <f>SUM(L86:U86)</f>
        <v/>
      </c>
      <c r="W86">
        <f>V86*2.5</f>
        <v/>
      </c>
      <c r="X86">
        <f>VLOOKUP(A86,Participants!$A$2:$B$86,2,FALSE)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2" t="inlineStr">
        <is>
          <t>participant_id</t>
        </is>
      </c>
      <c r="B1" s="2" t="inlineStr">
        <is>
          <t>mental_demand</t>
        </is>
      </c>
      <c r="C1" s="2" t="inlineStr">
        <is>
          <t>physical_demand</t>
        </is>
      </c>
      <c r="D1" s="2" t="inlineStr">
        <is>
          <t>temporal_demand</t>
        </is>
      </c>
      <c r="E1" s="2" t="inlineStr">
        <is>
          <t>performance</t>
        </is>
      </c>
      <c r="F1" s="2" t="inlineStr">
        <is>
          <t>effort</t>
        </is>
      </c>
      <c r="G1" s="2" t="inlineStr">
        <is>
          <t>frustration</t>
        </is>
      </c>
      <c r="H1" s="2" t="inlineStr">
        <is>
          <t>raw_tlx_overall</t>
        </is>
      </c>
      <c r="I1" s="2" t="inlineStr">
        <is>
          <t>user_type</t>
        </is>
      </c>
    </row>
    <row r="2">
      <c r="A2" t="inlineStr">
        <is>
          <t>user_0001</t>
        </is>
      </c>
      <c r="B2" t="n">
        <v>60</v>
      </c>
      <c r="C2" t="n">
        <v>0</v>
      </c>
      <c r="D2" t="n">
        <v>57.5</v>
      </c>
      <c r="E2" t="n">
        <v>57.5</v>
      </c>
      <c r="F2" t="n">
        <v>52.5</v>
      </c>
      <c r="G2" t="n">
        <v>45</v>
      </c>
      <c r="H2">
        <f>AVERAGE(B2:G2)</f>
        <v/>
      </c>
      <c r="I2">
        <f>VLOOKUP(A2,Participants!$A$2:$B$86,2,FALSE)</f>
        <v/>
      </c>
    </row>
    <row r="3">
      <c r="A3" t="inlineStr">
        <is>
          <t>user_0002</t>
        </is>
      </c>
      <c r="B3" t="n">
        <v>65</v>
      </c>
      <c r="C3" t="n">
        <v>0</v>
      </c>
      <c r="D3" t="n">
        <v>32.5</v>
      </c>
      <c r="E3" t="n">
        <v>57.5</v>
      </c>
      <c r="F3" t="n">
        <v>17.5</v>
      </c>
      <c r="G3" t="n">
        <v>32.5</v>
      </c>
      <c r="H3">
        <f>AVERAGE(B3:G3)</f>
        <v/>
      </c>
      <c r="I3">
        <f>VLOOKUP(A3,Participants!$A$2:$B$86,2,FALSE)</f>
        <v/>
      </c>
    </row>
    <row r="4">
      <c r="A4" t="inlineStr">
        <is>
          <t>user_0003</t>
        </is>
      </c>
      <c r="B4" t="n">
        <v>40</v>
      </c>
      <c r="C4" t="n">
        <v>0</v>
      </c>
      <c r="D4" t="n">
        <v>2.5</v>
      </c>
      <c r="E4" t="n">
        <v>87.5</v>
      </c>
      <c r="F4" t="n">
        <v>40</v>
      </c>
      <c r="G4" t="n">
        <v>5</v>
      </c>
      <c r="H4">
        <f>AVERAGE(B4:G4)</f>
        <v/>
      </c>
      <c r="I4">
        <f>VLOOKUP(A4,Participants!$A$2:$B$86,2,FALSE)</f>
        <v/>
      </c>
    </row>
    <row r="5">
      <c r="A5" t="inlineStr">
        <is>
          <t>user_0004</t>
        </is>
      </c>
      <c r="B5" t="n">
        <v>5</v>
      </c>
      <c r="C5" t="n">
        <v>0</v>
      </c>
      <c r="D5" t="n">
        <v>0</v>
      </c>
      <c r="E5" t="n">
        <v>82.5</v>
      </c>
      <c r="F5" t="n">
        <v>2.5</v>
      </c>
      <c r="G5" t="n">
        <v>2.5</v>
      </c>
      <c r="H5">
        <f>AVERAGE(B5:G5)</f>
        <v/>
      </c>
      <c r="I5">
        <f>VLOOKUP(A5,Participants!$A$2:$B$86,2,FALSE)</f>
        <v/>
      </c>
    </row>
    <row r="6">
      <c r="A6" t="inlineStr">
        <is>
          <t>user_0005</t>
        </is>
      </c>
      <c r="B6" t="n">
        <v>10</v>
      </c>
      <c r="C6" t="n">
        <v>0</v>
      </c>
      <c r="D6" t="n">
        <v>0</v>
      </c>
      <c r="E6" t="n">
        <v>30</v>
      </c>
      <c r="F6" t="n">
        <v>2.5</v>
      </c>
      <c r="G6" t="n">
        <v>5</v>
      </c>
      <c r="H6">
        <f>AVERAGE(B6:G6)</f>
        <v/>
      </c>
      <c r="I6">
        <f>VLOOKUP(A6,Participants!$A$2:$B$86,2,FALSE)</f>
        <v/>
      </c>
    </row>
    <row r="7">
      <c r="A7" t="inlineStr">
        <is>
          <t>user_0006</t>
        </is>
      </c>
      <c r="B7" t="n">
        <v>35</v>
      </c>
      <c r="C7" t="n">
        <v>0</v>
      </c>
      <c r="D7" t="n">
        <v>25</v>
      </c>
      <c r="E7" t="n">
        <v>75</v>
      </c>
      <c r="F7" t="n">
        <v>50</v>
      </c>
      <c r="G7" t="n">
        <v>25</v>
      </c>
      <c r="H7">
        <f>AVERAGE(B7:G7)</f>
        <v/>
      </c>
      <c r="I7">
        <f>VLOOKUP(A7,Participants!$A$2:$B$86,2,FALSE)</f>
        <v/>
      </c>
    </row>
    <row r="8">
      <c r="A8" t="inlineStr">
        <is>
          <t>user_0007</t>
        </is>
      </c>
      <c r="B8" t="n">
        <v>85</v>
      </c>
      <c r="C8" t="n">
        <v>0</v>
      </c>
      <c r="D8" t="n">
        <v>95</v>
      </c>
      <c r="E8" t="n">
        <v>32.5</v>
      </c>
      <c r="F8" t="n">
        <v>82.5</v>
      </c>
      <c r="G8" t="n">
        <v>60</v>
      </c>
      <c r="H8">
        <f>AVERAGE(B8:G8)</f>
        <v/>
      </c>
      <c r="I8">
        <f>VLOOKUP(A8,Participants!$A$2:$B$86,2,FALSE)</f>
        <v/>
      </c>
    </row>
    <row r="9">
      <c r="A9" t="inlineStr">
        <is>
          <t>user_0008</t>
        </is>
      </c>
      <c r="B9" t="n">
        <v>47.5</v>
      </c>
      <c r="C9" t="n">
        <v>0</v>
      </c>
      <c r="D9" t="n">
        <v>12.5</v>
      </c>
      <c r="E9" t="n">
        <v>50</v>
      </c>
      <c r="F9" t="n">
        <v>15</v>
      </c>
      <c r="G9" t="n">
        <v>2.5</v>
      </c>
      <c r="H9">
        <f>AVERAGE(B9:G9)</f>
        <v/>
      </c>
      <c r="I9">
        <f>VLOOKUP(A9,Participants!$A$2:$B$86,2,FALSE)</f>
        <v/>
      </c>
    </row>
    <row r="10">
      <c r="A10" t="inlineStr">
        <is>
          <t>user_0009</t>
        </is>
      </c>
      <c r="B10" t="n">
        <v>42.5</v>
      </c>
      <c r="C10" t="n">
        <v>0</v>
      </c>
      <c r="D10" t="n">
        <v>50</v>
      </c>
      <c r="E10" t="n">
        <v>72.5</v>
      </c>
      <c r="F10" t="n">
        <v>45</v>
      </c>
      <c r="G10" t="n">
        <v>37.5</v>
      </c>
      <c r="H10">
        <f>AVERAGE(B10:G10)</f>
        <v/>
      </c>
      <c r="I10">
        <f>VLOOKUP(A10,Participants!$A$2:$B$86,2,FALSE)</f>
        <v/>
      </c>
    </row>
    <row r="11">
      <c r="A11" t="inlineStr">
        <is>
          <t>user_0010</t>
        </is>
      </c>
      <c r="B11" t="n">
        <v>40</v>
      </c>
      <c r="C11" t="n">
        <v>0</v>
      </c>
      <c r="D11" t="n">
        <v>47.5</v>
      </c>
      <c r="E11" t="n">
        <v>85</v>
      </c>
      <c r="F11" t="n">
        <v>32.5</v>
      </c>
      <c r="G11" t="n">
        <v>32.5</v>
      </c>
      <c r="H11">
        <f>AVERAGE(B11:G11)</f>
        <v/>
      </c>
      <c r="I11">
        <f>VLOOKUP(A11,Participants!$A$2:$B$86,2,FALSE)</f>
        <v/>
      </c>
    </row>
    <row r="12">
      <c r="A12" t="inlineStr">
        <is>
          <t>user_0011</t>
        </is>
      </c>
      <c r="B12" t="n">
        <v>17.5</v>
      </c>
      <c r="C12" t="n">
        <v>0</v>
      </c>
      <c r="D12" t="n">
        <v>15</v>
      </c>
      <c r="E12" t="n">
        <v>72.5</v>
      </c>
      <c r="F12" t="n">
        <v>17.5</v>
      </c>
      <c r="G12" t="n">
        <v>17.5</v>
      </c>
      <c r="H12">
        <f>AVERAGE(B12:G12)</f>
        <v/>
      </c>
      <c r="I12">
        <f>VLOOKUP(A12,Participants!$A$2:$B$86,2,FALSE)</f>
        <v/>
      </c>
    </row>
    <row r="13">
      <c r="A13" t="inlineStr">
        <is>
          <t>user_0013</t>
        </is>
      </c>
      <c r="B13" t="n">
        <v>5</v>
      </c>
      <c r="C13" t="n">
        <v>0</v>
      </c>
      <c r="D13" t="n">
        <v>5</v>
      </c>
      <c r="E13" t="n">
        <v>62.5</v>
      </c>
      <c r="F13" t="n">
        <v>15</v>
      </c>
      <c r="G13" t="n">
        <v>7.5</v>
      </c>
      <c r="H13">
        <f>AVERAGE(B13:G13)</f>
        <v/>
      </c>
      <c r="I13">
        <f>VLOOKUP(A13,Participants!$A$2:$B$86,2,FALSE)</f>
        <v/>
      </c>
    </row>
    <row r="14">
      <c r="A14" t="inlineStr">
        <is>
          <t>user_0015</t>
        </is>
      </c>
      <c r="B14" t="n">
        <v>12.5</v>
      </c>
      <c r="C14" t="n">
        <v>0</v>
      </c>
      <c r="D14" t="n">
        <v>25</v>
      </c>
      <c r="E14" t="n">
        <v>75</v>
      </c>
      <c r="F14" t="n">
        <v>12.5</v>
      </c>
      <c r="G14" t="n">
        <v>0</v>
      </c>
      <c r="H14">
        <f>AVERAGE(B14:G14)</f>
        <v/>
      </c>
      <c r="I14">
        <f>VLOOKUP(A14,Participants!$A$2:$B$86,2,FALSE)</f>
        <v/>
      </c>
    </row>
    <row r="15">
      <c r="A15" t="inlineStr">
        <is>
          <t>user_0016</t>
        </is>
      </c>
      <c r="B15" t="n">
        <v>37.5</v>
      </c>
      <c r="C15" t="n">
        <v>0</v>
      </c>
      <c r="D15" t="n">
        <v>20</v>
      </c>
      <c r="E15" t="n">
        <v>50</v>
      </c>
      <c r="F15" t="n">
        <v>20</v>
      </c>
      <c r="G15" t="n">
        <v>10</v>
      </c>
      <c r="H15">
        <f>AVERAGE(B15:G15)</f>
        <v/>
      </c>
      <c r="I15">
        <f>VLOOKUP(A15,Participants!$A$2:$B$86,2,FALSE)</f>
        <v/>
      </c>
    </row>
    <row r="16">
      <c r="A16" t="inlineStr">
        <is>
          <t>user_0017</t>
        </is>
      </c>
      <c r="B16" t="n">
        <v>45</v>
      </c>
      <c r="C16" t="n">
        <v>0</v>
      </c>
      <c r="D16" t="n">
        <v>50</v>
      </c>
      <c r="E16" t="n">
        <v>60</v>
      </c>
      <c r="F16" t="n">
        <v>50</v>
      </c>
      <c r="G16" t="n">
        <v>37.5</v>
      </c>
      <c r="H16">
        <f>AVERAGE(B16:G16)</f>
        <v/>
      </c>
      <c r="I16">
        <f>VLOOKUP(A16,Participants!$A$2:$B$86,2,FALSE)</f>
        <v/>
      </c>
    </row>
    <row r="17">
      <c r="A17" t="inlineStr">
        <is>
          <t>user_0018</t>
        </is>
      </c>
      <c r="B17" t="n">
        <v>40</v>
      </c>
      <c r="C17" t="n">
        <v>0</v>
      </c>
      <c r="D17" t="n">
        <v>12.5</v>
      </c>
      <c r="E17" t="n">
        <v>87.5</v>
      </c>
      <c r="F17" t="n">
        <v>22.5</v>
      </c>
      <c r="G17" t="n">
        <v>22.5</v>
      </c>
      <c r="H17">
        <f>AVERAGE(B17:G17)</f>
        <v/>
      </c>
      <c r="I17">
        <f>VLOOKUP(A17,Participants!$A$2:$B$86,2,FALSE)</f>
        <v/>
      </c>
    </row>
    <row r="18">
      <c r="A18" t="inlineStr">
        <is>
          <t>user_0019</t>
        </is>
      </c>
      <c r="B18" t="n">
        <v>45</v>
      </c>
      <c r="C18" t="n">
        <v>0</v>
      </c>
      <c r="D18" t="n">
        <v>32.5</v>
      </c>
      <c r="E18" t="n">
        <v>72.5</v>
      </c>
      <c r="F18" t="n">
        <v>60</v>
      </c>
      <c r="G18" t="n">
        <v>40</v>
      </c>
      <c r="H18">
        <f>AVERAGE(B18:G18)</f>
        <v/>
      </c>
      <c r="I18">
        <f>VLOOKUP(A18,Participants!$A$2:$B$86,2,FALSE)</f>
        <v/>
      </c>
    </row>
    <row r="19">
      <c r="A19" t="inlineStr">
        <is>
          <t>user_0020</t>
        </is>
      </c>
      <c r="B19" t="n">
        <v>42.5</v>
      </c>
      <c r="C19" t="n">
        <v>0</v>
      </c>
      <c r="D19" t="n">
        <v>30</v>
      </c>
      <c r="E19" t="n">
        <v>57.5</v>
      </c>
      <c r="F19" t="n">
        <v>37.5</v>
      </c>
      <c r="G19" t="n">
        <v>37.5</v>
      </c>
      <c r="H19">
        <f>AVERAGE(B19:G19)</f>
        <v/>
      </c>
      <c r="I19">
        <f>VLOOKUP(A19,Participants!$A$2:$B$86,2,FALSE)</f>
        <v/>
      </c>
    </row>
    <row r="20">
      <c r="A20" t="inlineStr">
        <is>
          <t>user_0021</t>
        </is>
      </c>
      <c r="B20" t="n">
        <v>32.5</v>
      </c>
      <c r="C20" t="n">
        <v>0</v>
      </c>
      <c r="D20" t="n">
        <v>25</v>
      </c>
      <c r="E20" t="n">
        <v>67.5</v>
      </c>
      <c r="F20" t="n">
        <v>35</v>
      </c>
      <c r="G20" t="n">
        <v>30</v>
      </c>
      <c r="H20">
        <f>AVERAGE(B20:G20)</f>
        <v/>
      </c>
      <c r="I20">
        <f>VLOOKUP(A20,Participants!$A$2:$B$86,2,FALSE)</f>
        <v/>
      </c>
    </row>
    <row r="21">
      <c r="A21" t="inlineStr">
        <is>
          <t>user_0022</t>
        </is>
      </c>
      <c r="B21" t="n">
        <v>47.5</v>
      </c>
      <c r="C21" t="n">
        <v>0</v>
      </c>
      <c r="D21" t="n">
        <v>55</v>
      </c>
      <c r="E21" t="n">
        <v>72.5</v>
      </c>
      <c r="F21" t="n">
        <v>52.5</v>
      </c>
      <c r="G21" t="n">
        <v>7.5</v>
      </c>
      <c r="H21">
        <f>AVERAGE(B21:G21)</f>
        <v/>
      </c>
      <c r="I21">
        <f>VLOOKUP(A21,Participants!$A$2:$B$86,2,FALSE)</f>
        <v/>
      </c>
    </row>
    <row r="22">
      <c r="A22" t="inlineStr">
        <is>
          <t>user_0023</t>
        </is>
      </c>
      <c r="B22" t="n">
        <v>40</v>
      </c>
      <c r="C22" t="n">
        <v>0</v>
      </c>
      <c r="D22" t="n">
        <v>20</v>
      </c>
      <c r="E22" t="n">
        <v>92.5</v>
      </c>
      <c r="F22" t="n">
        <v>27.5</v>
      </c>
      <c r="G22" t="n">
        <v>22.5</v>
      </c>
      <c r="H22">
        <f>AVERAGE(B22:G22)</f>
        <v/>
      </c>
      <c r="I22">
        <f>VLOOKUP(A22,Participants!$A$2:$B$86,2,FALSE)</f>
        <v/>
      </c>
    </row>
    <row r="23">
      <c r="A23" t="inlineStr">
        <is>
          <t>user_0024</t>
        </is>
      </c>
      <c r="B23" t="n">
        <v>47.5</v>
      </c>
      <c r="C23" t="n">
        <v>0</v>
      </c>
      <c r="D23" t="n">
        <v>10</v>
      </c>
      <c r="E23" t="n">
        <v>87.5</v>
      </c>
      <c r="F23" t="n">
        <v>15</v>
      </c>
      <c r="G23" t="n">
        <v>0</v>
      </c>
      <c r="H23">
        <f>AVERAGE(B23:G23)</f>
        <v/>
      </c>
      <c r="I23">
        <f>VLOOKUP(A23,Participants!$A$2:$B$86,2,FALSE)</f>
        <v/>
      </c>
    </row>
    <row r="24">
      <c r="A24" t="inlineStr">
        <is>
          <t>user_0026</t>
        </is>
      </c>
      <c r="B24" t="n">
        <v>45</v>
      </c>
      <c r="C24" t="n">
        <v>0</v>
      </c>
      <c r="D24" t="n">
        <v>35</v>
      </c>
      <c r="E24" t="n">
        <v>50</v>
      </c>
      <c r="F24" t="n">
        <v>42.5</v>
      </c>
      <c r="G24" t="n">
        <v>42.5</v>
      </c>
      <c r="H24">
        <f>AVERAGE(B24:G24)</f>
        <v/>
      </c>
      <c r="I24">
        <f>VLOOKUP(A24,Participants!$A$2:$B$86,2,FALSE)</f>
        <v/>
      </c>
    </row>
    <row r="25">
      <c r="A25" t="inlineStr">
        <is>
          <t>user_0027</t>
        </is>
      </c>
      <c r="B25" t="n">
        <v>5</v>
      </c>
      <c r="C25" t="n">
        <v>0</v>
      </c>
      <c r="D25" t="n">
        <v>5</v>
      </c>
      <c r="E25" t="n">
        <v>97.5</v>
      </c>
      <c r="F25" t="n">
        <v>2.5</v>
      </c>
      <c r="G25" t="n">
        <v>2.5</v>
      </c>
      <c r="H25">
        <f>AVERAGE(B25:G25)</f>
        <v/>
      </c>
      <c r="I25">
        <f>VLOOKUP(A25,Participants!$A$2:$B$86,2,FALSE)</f>
        <v/>
      </c>
    </row>
    <row r="26">
      <c r="A26" t="inlineStr">
        <is>
          <t>user_0028</t>
        </is>
      </c>
      <c r="B26" t="n">
        <v>1</v>
      </c>
      <c r="C26" t="n">
        <v>0</v>
      </c>
      <c r="D26" t="n">
        <v>2</v>
      </c>
      <c r="E26" t="n">
        <v>10</v>
      </c>
      <c r="F26" t="n">
        <v>1</v>
      </c>
      <c r="G26" t="n">
        <v>0</v>
      </c>
      <c r="H26">
        <f>AVERAGE(B26:G26)</f>
        <v/>
      </c>
      <c r="I26">
        <f>VLOOKUP(A26,Participants!$A$2:$B$86,2,FALSE)</f>
        <v/>
      </c>
    </row>
    <row r="27">
      <c r="A27" t="inlineStr">
        <is>
          <t>user_0029</t>
        </is>
      </c>
      <c r="B27" t="n">
        <v>52.5</v>
      </c>
      <c r="C27" t="n">
        <v>0</v>
      </c>
      <c r="D27" t="n">
        <v>0</v>
      </c>
      <c r="E27" t="n">
        <v>72.5</v>
      </c>
      <c r="F27" t="n">
        <v>55</v>
      </c>
      <c r="G27" t="n">
        <v>30</v>
      </c>
      <c r="H27">
        <f>AVERAGE(B27:G27)</f>
        <v/>
      </c>
      <c r="I27">
        <f>VLOOKUP(A27,Participants!$A$2:$B$86,2,FALSE)</f>
        <v/>
      </c>
    </row>
    <row r="28">
      <c r="A28" t="inlineStr">
        <is>
          <t>user_0031</t>
        </is>
      </c>
      <c r="B28" t="n">
        <v>10</v>
      </c>
      <c r="C28" t="n">
        <v>0</v>
      </c>
      <c r="D28" t="n">
        <v>7</v>
      </c>
      <c r="E28" t="n">
        <v>8</v>
      </c>
      <c r="F28" t="n">
        <v>5</v>
      </c>
      <c r="G28" t="n">
        <v>2</v>
      </c>
      <c r="H28">
        <f>AVERAGE(B28:G28)</f>
        <v/>
      </c>
      <c r="I28">
        <f>VLOOKUP(A28,Participants!$A$2:$B$86,2,FALSE)</f>
        <v/>
      </c>
    </row>
    <row r="29">
      <c r="A29" t="inlineStr">
        <is>
          <t>user_0032</t>
        </is>
      </c>
      <c r="B29" t="n">
        <v>7</v>
      </c>
      <c r="C29" t="n">
        <v>0</v>
      </c>
      <c r="D29" t="n">
        <v>8</v>
      </c>
      <c r="E29" t="n">
        <v>10</v>
      </c>
      <c r="F29" t="n">
        <v>7</v>
      </c>
      <c r="G29" t="n">
        <v>5</v>
      </c>
      <c r="H29">
        <f>AVERAGE(B29:G29)</f>
        <v/>
      </c>
      <c r="I29">
        <f>VLOOKUP(A29,Participants!$A$2:$B$86,2,FALSE)</f>
        <v/>
      </c>
    </row>
    <row r="30">
      <c r="A30" t="inlineStr">
        <is>
          <t>user_0033</t>
        </is>
      </c>
      <c r="B30" t="n">
        <v>7</v>
      </c>
      <c r="C30" t="n">
        <v>0</v>
      </c>
      <c r="D30" t="n">
        <v>0</v>
      </c>
      <c r="E30" t="n">
        <v>7</v>
      </c>
      <c r="F30" t="n">
        <v>6</v>
      </c>
      <c r="G30" t="n">
        <v>2</v>
      </c>
      <c r="H30">
        <f>AVERAGE(B30:G30)</f>
        <v/>
      </c>
      <c r="I30">
        <f>VLOOKUP(A30,Participants!$A$2:$B$86,2,FALSE)</f>
        <v/>
      </c>
    </row>
    <row r="31">
      <c r="A31" t="inlineStr">
        <is>
          <t>user_0034</t>
        </is>
      </c>
      <c r="B31" t="n">
        <v>-48.02338137186251</v>
      </c>
      <c r="C31" t="n">
        <v>0</v>
      </c>
      <c r="D31" t="n">
        <v>0</v>
      </c>
      <c r="E31" t="n">
        <v>8</v>
      </c>
      <c r="F31" t="n">
        <v>1</v>
      </c>
      <c r="G31" t="n">
        <v>49.02338137186251</v>
      </c>
      <c r="H31">
        <f>AVERAGE(B31:G31)</f>
        <v/>
      </c>
      <c r="I31">
        <f>VLOOKUP(A31,Participants!$A$2:$B$86,2,FALSE)</f>
        <v/>
      </c>
    </row>
    <row r="32">
      <c r="A32" t="inlineStr">
        <is>
          <t>user_0037</t>
        </is>
      </c>
      <c r="B32" t="n">
        <v>20</v>
      </c>
      <c r="C32" t="n">
        <v>0</v>
      </c>
      <c r="D32" t="n">
        <v>10</v>
      </c>
      <c r="E32" t="n">
        <v>100</v>
      </c>
      <c r="F32" t="n">
        <v>5</v>
      </c>
      <c r="G32" t="n">
        <v>2.5</v>
      </c>
      <c r="H32">
        <f>AVERAGE(B32:G32)</f>
        <v/>
      </c>
      <c r="I32">
        <f>VLOOKUP(A32,Participants!$A$2:$B$86,2,FALSE)</f>
        <v/>
      </c>
    </row>
    <row r="33">
      <c r="A33" t="inlineStr">
        <is>
          <t>user_0039</t>
        </is>
      </c>
      <c r="B33" t="n">
        <v>27.5</v>
      </c>
      <c r="C33" t="n">
        <v>0</v>
      </c>
      <c r="D33" t="n">
        <v>25</v>
      </c>
      <c r="E33" t="n">
        <v>75</v>
      </c>
      <c r="F33" t="n">
        <v>25</v>
      </c>
      <c r="G33" t="n">
        <v>25</v>
      </c>
      <c r="H33">
        <f>AVERAGE(B33:G33)</f>
        <v/>
      </c>
      <c r="I33">
        <f>VLOOKUP(A33,Participants!$A$2:$B$86,2,FALSE)</f>
        <v/>
      </c>
    </row>
    <row r="34">
      <c r="A34" t="inlineStr">
        <is>
          <t>user_0042</t>
        </is>
      </c>
      <c r="B34" t="n">
        <v>47.5</v>
      </c>
      <c r="C34" t="n">
        <v>0</v>
      </c>
      <c r="D34" t="n">
        <v>20</v>
      </c>
      <c r="E34" t="n">
        <v>75</v>
      </c>
      <c r="F34" t="n">
        <v>40</v>
      </c>
      <c r="G34" t="n">
        <v>0</v>
      </c>
      <c r="H34">
        <f>AVERAGE(B34:G34)</f>
        <v/>
      </c>
      <c r="I34">
        <f>VLOOKUP(A34,Participants!$A$2:$B$86,2,FALSE)</f>
        <v/>
      </c>
    </row>
    <row r="35">
      <c r="A35" t="inlineStr">
        <is>
          <t>user_0043</t>
        </is>
      </c>
      <c r="B35" t="n">
        <v>37.5</v>
      </c>
      <c r="C35" t="n">
        <v>0</v>
      </c>
      <c r="D35" t="n">
        <v>10</v>
      </c>
      <c r="E35" t="n">
        <v>92.5</v>
      </c>
      <c r="F35" t="n">
        <v>17.5</v>
      </c>
      <c r="G35" t="n">
        <v>12.5</v>
      </c>
      <c r="H35">
        <f>AVERAGE(B35:G35)</f>
        <v/>
      </c>
      <c r="I35">
        <f>VLOOKUP(A35,Participants!$A$2:$B$86,2,FALSE)</f>
        <v/>
      </c>
    </row>
    <row r="36">
      <c r="A36" t="inlineStr">
        <is>
          <t>user_0045</t>
        </is>
      </c>
      <c r="B36" t="n">
        <v>17.5</v>
      </c>
      <c r="C36" t="n">
        <v>0</v>
      </c>
      <c r="D36" t="n">
        <v>15</v>
      </c>
      <c r="E36" t="n">
        <v>97.5</v>
      </c>
      <c r="F36" t="n">
        <v>15</v>
      </c>
      <c r="G36" t="n">
        <v>10</v>
      </c>
      <c r="H36">
        <f>AVERAGE(B36:G36)</f>
        <v/>
      </c>
      <c r="I36">
        <f>VLOOKUP(A36,Participants!$A$2:$B$86,2,FALSE)</f>
        <v/>
      </c>
    </row>
    <row r="37">
      <c r="A37" t="inlineStr">
        <is>
          <t>user_0046</t>
        </is>
      </c>
      <c r="B37" t="n">
        <v>57.5</v>
      </c>
      <c r="C37" t="n">
        <v>0</v>
      </c>
      <c r="D37" t="n">
        <v>30</v>
      </c>
      <c r="E37" t="n">
        <v>55</v>
      </c>
      <c r="F37" t="n">
        <v>25</v>
      </c>
      <c r="G37" t="n">
        <v>25</v>
      </c>
      <c r="H37">
        <f>AVERAGE(B37:G37)</f>
        <v/>
      </c>
      <c r="I37">
        <f>VLOOKUP(A37,Participants!$A$2:$B$86,2,FALSE)</f>
        <v/>
      </c>
    </row>
    <row r="38">
      <c r="A38" t="inlineStr">
        <is>
          <t>user_0047</t>
        </is>
      </c>
      <c r="B38" t="n">
        <v>22.5</v>
      </c>
      <c r="C38" t="n">
        <v>0</v>
      </c>
      <c r="D38" t="n">
        <v>5</v>
      </c>
      <c r="E38" t="n">
        <v>60</v>
      </c>
      <c r="F38" t="n">
        <v>20</v>
      </c>
      <c r="G38" t="n">
        <v>0</v>
      </c>
      <c r="H38">
        <f>AVERAGE(B38:G38)</f>
        <v/>
      </c>
      <c r="I38">
        <f>VLOOKUP(A38,Participants!$A$2:$B$86,2,FALSE)</f>
        <v/>
      </c>
    </row>
    <row r="39">
      <c r="A39" t="inlineStr">
        <is>
          <t>user_0048</t>
        </is>
      </c>
      <c r="B39" t="n">
        <v>30</v>
      </c>
      <c r="C39" t="n">
        <v>0</v>
      </c>
      <c r="D39" t="n">
        <v>35</v>
      </c>
      <c r="E39" t="n">
        <v>72.5</v>
      </c>
      <c r="F39" t="n">
        <v>30</v>
      </c>
      <c r="G39" t="n">
        <v>22.5</v>
      </c>
      <c r="H39">
        <f>AVERAGE(B39:G39)</f>
        <v/>
      </c>
      <c r="I39">
        <f>VLOOKUP(A39,Participants!$A$2:$B$86,2,FALSE)</f>
        <v/>
      </c>
    </row>
    <row r="40">
      <c r="A40" t="inlineStr">
        <is>
          <t>user_0049</t>
        </is>
      </c>
      <c r="B40" t="n">
        <v>17.5</v>
      </c>
      <c r="C40" t="n">
        <v>0</v>
      </c>
      <c r="D40" t="n">
        <v>20</v>
      </c>
      <c r="E40" t="n">
        <v>55</v>
      </c>
      <c r="F40" t="n">
        <v>15</v>
      </c>
      <c r="G40" t="n">
        <v>50</v>
      </c>
      <c r="H40">
        <f>AVERAGE(B40:G40)</f>
        <v/>
      </c>
      <c r="I40">
        <f>VLOOKUP(A40,Participants!$A$2:$B$86,2,FALSE)</f>
        <v/>
      </c>
    </row>
    <row r="41">
      <c r="A41" t="inlineStr">
        <is>
          <t>user_0050</t>
        </is>
      </c>
      <c r="B41" t="n">
        <v>50</v>
      </c>
      <c r="C41" t="n">
        <v>0</v>
      </c>
      <c r="D41" t="n">
        <v>100</v>
      </c>
      <c r="E41" t="n">
        <v>52.5</v>
      </c>
      <c r="F41" t="n">
        <v>47.5</v>
      </c>
      <c r="G41" t="n">
        <v>45</v>
      </c>
      <c r="H41">
        <f>AVERAGE(B41:G41)</f>
        <v/>
      </c>
      <c r="I41">
        <f>VLOOKUP(A41,Participants!$A$2:$B$86,2,FALSE)</f>
        <v/>
      </c>
    </row>
    <row r="42">
      <c r="A42" t="inlineStr">
        <is>
          <t>user_0051</t>
        </is>
      </c>
      <c r="B42" t="n">
        <v>32.5</v>
      </c>
      <c r="C42" t="n">
        <v>0</v>
      </c>
      <c r="D42" t="n">
        <v>52.5</v>
      </c>
      <c r="E42" t="n">
        <v>55</v>
      </c>
      <c r="F42" t="n">
        <v>15</v>
      </c>
      <c r="G42" t="n">
        <v>35</v>
      </c>
      <c r="H42">
        <f>AVERAGE(B42:G42)</f>
        <v/>
      </c>
      <c r="I42">
        <f>VLOOKUP(A42,Participants!$A$2:$B$86,2,FALSE)</f>
        <v/>
      </c>
    </row>
    <row r="43">
      <c r="A43" t="inlineStr">
        <is>
          <t>user_0055</t>
        </is>
      </c>
      <c r="B43" t="n">
        <v>100</v>
      </c>
      <c r="C43" t="n">
        <v>0</v>
      </c>
      <c r="D43" t="n">
        <v>100</v>
      </c>
      <c r="E43" t="n">
        <v>100</v>
      </c>
      <c r="F43" t="n">
        <v>100</v>
      </c>
      <c r="G43" t="n">
        <v>100</v>
      </c>
      <c r="H43">
        <f>AVERAGE(B43:G43)</f>
        <v/>
      </c>
      <c r="I43">
        <f>VLOOKUP(A43,Participants!$A$2:$B$86,2,FALSE)</f>
        <v/>
      </c>
    </row>
    <row r="44">
      <c r="A44" t="inlineStr">
        <is>
          <t>user_0061</t>
        </is>
      </c>
      <c r="B44" t="n">
        <v>2.5</v>
      </c>
      <c r="C44" t="n">
        <v>0</v>
      </c>
      <c r="D44" t="n">
        <v>2.5</v>
      </c>
      <c r="E44" t="n">
        <v>80</v>
      </c>
      <c r="F44" t="n">
        <v>5</v>
      </c>
      <c r="G44" t="n">
        <v>5</v>
      </c>
      <c r="H44">
        <f>AVERAGE(B44:G44)</f>
        <v/>
      </c>
      <c r="I44">
        <f>VLOOKUP(A44,Participants!$A$2:$B$86,2,FALSE)</f>
        <v/>
      </c>
    </row>
    <row r="45">
      <c r="A45" t="inlineStr">
        <is>
          <t>user_0065</t>
        </is>
      </c>
      <c r="B45" t="n">
        <v>5</v>
      </c>
      <c r="C45" t="n">
        <v>0</v>
      </c>
      <c r="D45" t="n">
        <v>2.5</v>
      </c>
      <c r="E45" t="n">
        <v>7.5</v>
      </c>
      <c r="F45" t="n">
        <v>5</v>
      </c>
      <c r="G45" t="n">
        <v>32.5</v>
      </c>
      <c r="H45">
        <f>AVERAGE(B45:G45)</f>
        <v/>
      </c>
      <c r="I45">
        <f>VLOOKUP(A45,Participants!$A$2:$B$86,2,FALSE)</f>
        <v/>
      </c>
    </row>
    <row r="46">
      <c r="A46" t="inlineStr">
        <is>
          <t>user_0067</t>
        </is>
      </c>
      <c r="B46" t="n">
        <v>149.0233813718625</v>
      </c>
      <c r="C46" t="n">
        <v>0</v>
      </c>
      <c r="D46" t="n">
        <v>100</v>
      </c>
      <c r="E46" t="n">
        <v>90</v>
      </c>
      <c r="F46" t="n">
        <v>100</v>
      </c>
      <c r="G46" t="n">
        <v>43.47661862813749</v>
      </c>
      <c r="H46">
        <f>AVERAGE(B46:G46)</f>
        <v/>
      </c>
      <c r="I46">
        <f>VLOOKUP(A46,Participants!$A$2:$B$86,2,FALSE)</f>
        <v/>
      </c>
    </row>
    <row r="47">
      <c r="A47" t="inlineStr">
        <is>
          <t>user_0101</t>
        </is>
      </c>
      <c r="B47" t="n">
        <v>5</v>
      </c>
      <c r="C47" t="n">
        <v>0</v>
      </c>
      <c r="D47" t="n">
        <v>5</v>
      </c>
      <c r="E47" t="n">
        <v>6</v>
      </c>
      <c r="F47" t="n">
        <v>4</v>
      </c>
      <c r="G47" t="n">
        <v>4</v>
      </c>
      <c r="H47">
        <f>AVERAGE(B47:G47)</f>
        <v/>
      </c>
      <c r="I47">
        <f>VLOOKUP(A47,Participants!$A$2:$B$86,2,FALSE)</f>
        <v/>
      </c>
    </row>
    <row r="48">
      <c r="A48" t="inlineStr">
        <is>
          <t>user_0102</t>
        </is>
      </c>
      <c r="B48" t="n">
        <v>7</v>
      </c>
      <c r="C48" t="n">
        <v>0</v>
      </c>
      <c r="D48" t="n">
        <v>0</v>
      </c>
      <c r="E48" t="n">
        <v>6</v>
      </c>
      <c r="F48" t="n">
        <v>7</v>
      </c>
      <c r="G48" t="n">
        <v>0</v>
      </c>
      <c r="H48">
        <f>AVERAGE(B48:G48)</f>
        <v/>
      </c>
      <c r="I48">
        <f>VLOOKUP(A48,Participants!$A$2:$B$86,2,FALSE)</f>
        <v/>
      </c>
    </row>
    <row r="49">
      <c r="A49" t="inlineStr">
        <is>
          <t>user_0103</t>
        </is>
      </c>
      <c r="B49" t="n">
        <v>27</v>
      </c>
      <c r="C49" t="n">
        <v>0</v>
      </c>
      <c r="D49" t="n">
        <v>14</v>
      </c>
      <c r="E49" t="n">
        <v>53</v>
      </c>
      <c r="F49" t="n">
        <v>24</v>
      </c>
      <c r="G49" t="n">
        <v>14</v>
      </c>
      <c r="H49">
        <f>AVERAGE(B49:G49)</f>
        <v/>
      </c>
      <c r="I49">
        <f>VLOOKUP(A49,Participants!$A$2:$B$86,2,FALSE)</f>
        <v/>
      </c>
    </row>
    <row r="50">
      <c r="A50" t="inlineStr">
        <is>
          <t>user_0104</t>
        </is>
      </c>
      <c r="B50" t="n">
        <v>4</v>
      </c>
      <c r="C50" t="n">
        <v>0</v>
      </c>
      <c r="D50" t="n">
        <v>0</v>
      </c>
      <c r="E50" t="n">
        <v>5</v>
      </c>
      <c r="F50" t="n">
        <v>3</v>
      </c>
      <c r="G50" t="n">
        <v>1</v>
      </c>
      <c r="H50">
        <f>AVERAGE(B50:G50)</f>
        <v/>
      </c>
      <c r="I50">
        <f>VLOOKUP(A50,Participants!$A$2:$B$86,2,FALSE)</f>
        <v/>
      </c>
    </row>
    <row r="51">
      <c r="A51" t="inlineStr">
        <is>
          <t>user_0105</t>
        </is>
      </c>
      <c r="B51" t="n">
        <v>27</v>
      </c>
      <c r="C51" t="n">
        <v>0</v>
      </c>
      <c r="D51" t="n">
        <v>14</v>
      </c>
      <c r="E51" t="n">
        <v>53</v>
      </c>
      <c r="F51" t="n">
        <v>24</v>
      </c>
      <c r="G51" t="n">
        <v>14</v>
      </c>
      <c r="H51">
        <f>AVERAGE(B51:G51)</f>
        <v/>
      </c>
      <c r="I51">
        <f>VLOOKUP(A51,Participants!$A$2:$B$86,2,FALSE)</f>
        <v/>
      </c>
    </row>
    <row r="52">
      <c r="A52" t="inlineStr">
        <is>
          <t>user_0106</t>
        </is>
      </c>
      <c r="B52" t="n">
        <v>3</v>
      </c>
      <c r="C52" t="n">
        <v>0</v>
      </c>
      <c r="D52" t="n">
        <v>0</v>
      </c>
      <c r="E52" t="n">
        <v>1</v>
      </c>
      <c r="F52" t="n">
        <v>2</v>
      </c>
      <c r="G52" t="n">
        <v>0</v>
      </c>
      <c r="H52">
        <f>AVERAGE(B52:G52)</f>
        <v/>
      </c>
      <c r="I52">
        <f>VLOOKUP(A52,Participants!$A$2:$B$86,2,FALSE)</f>
        <v/>
      </c>
    </row>
    <row r="53">
      <c r="A53" t="inlineStr">
        <is>
          <t>user_0107</t>
        </is>
      </c>
      <c r="B53" t="n">
        <v>8</v>
      </c>
      <c r="C53" t="n">
        <v>0</v>
      </c>
      <c r="D53" t="n">
        <v>5</v>
      </c>
      <c r="E53" t="n">
        <v>8</v>
      </c>
      <c r="F53" t="n">
        <v>1</v>
      </c>
      <c r="G53" t="n">
        <v>1</v>
      </c>
      <c r="H53">
        <f>AVERAGE(B53:G53)</f>
        <v/>
      </c>
      <c r="I53">
        <f>VLOOKUP(A53,Participants!$A$2:$B$86,2,FALSE)</f>
        <v/>
      </c>
    </row>
    <row r="54">
      <c r="A54" t="inlineStr">
        <is>
          <t>user_0108</t>
        </is>
      </c>
      <c r="B54" t="n">
        <v>8</v>
      </c>
      <c r="C54" t="n">
        <v>0</v>
      </c>
      <c r="D54" t="n">
        <v>0</v>
      </c>
      <c r="E54" t="n">
        <v>9</v>
      </c>
      <c r="F54" t="n">
        <v>3</v>
      </c>
      <c r="G54" t="n">
        <v>0</v>
      </c>
      <c r="H54">
        <f>AVERAGE(B54:G54)</f>
        <v/>
      </c>
      <c r="I54">
        <f>VLOOKUP(A54,Participants!$A$2:$B$86,2,FALSE)</f>
        <v/>
      </c>
    </row>
    <row r="55">
      <c r="A55" t="inlineStr">
        <is>
          <t>user_0109</t>
        </is>
      </c>
      <c r="B55" t="n">
        <v>6</v>
      </c>
      <c r="C55" t="n">
        <v>0</v>
      </c>
      <c r="D55" t="n">
        <v>1</v>
      </c>
      <c r="E55" t="n">
        <v>5</v>
      </c>
      <c r="F55" t="n">
        <v>5</v>
      </c>
      <c r="G55" t="n">
        <v>3</v>
      </c>
      <c r="H55">
        <f>AVERAGE(B55:G55)</f>
        <v/>
      </c>
      <c r="I55">
        <f>VLOOKUP(A55,Participants!$A$2:$B$86,2,FALSE)</f>
        <v/>
      </c>
    </row>
    <row r="56">
      <c r="A56" t="inlineStr">
        <is>
          <t>user_0110</t>
        </is>
      </c>
      <c r="B56" t="n">
        <v>0</v>
      </c>
      <c r="C56" t="n">
        <v>0</v>
      </c>
      <c r="D56" t="n">
        <v>1</v>
      </c>
      <c r="E56" t="n">
        <v>6</v>
      </c>
      <c r="F56" t="n">
        <v>0</v>
      </c>
      <c r="G56" t="n">
        <v>2</v>
      </c>
      <c r="H56">
        <f>AVERAGE(B56:G56)</f>
        <v/>
      </c>
      <c r="I56">
        <f>VLOOKUP(A56,Participants!$A$2:$B$86,2,FALSE)</f>
        <v/>
      </c>
    </row>
    <row r="57">
      <c r="A57" t="inlineStr">
        <is>
          <t>user_0113</t>
        </is>
      </c>
      <c r="B57" t="n">
        <v>67.5</v>
      </c>
      <c r="C57" t="n">
        <v>0</v>
      </c>
      <c r="D57" t="n">
        <v>70</v>
      </c>
      <c r="E57" t="n">
        <v>32.5</v>
      </c>
      <c r="F57" t="n">
        <v>60</v>
      </c>
      <c r="G57" t="n">
        <v>67.5</v>
      </c>
      <c r="H57">
        <f>AVERAGE(B57:G57)</f>
        <v/>
      </c>
      <c r="I57">
        <f>VLOOKUP(A57,Participants!$A$2:$B$86,2,FALSE)</f>
        <v/>
      </c>
    </row>
    <row r="58">
      <c r="A58" t="inlineStr">
        <is>
          <t>user_0114</t>
        </is>
      </c>
      <c r="B58" t="n">
        <v>80</v>
      </c>
      <c r="C58" t="n">
        <v>0</v>
      </c>
      <c r="D58" t="n">
        <v>37.5</v>
      </c>
      <c r="E58" t="n">
        <v>80</v>
      </c>
      <c r="F58" t="n">
        <v>45</v>
      </c>
      <c r="G58" t="n">
        <v>5</v>
      </c>
      <c r="H58">
        <f>AVERAGE(B58:G58)</f>
        <v/>
      </c>
      <c r="I58">
        <f>VLOOKUP(A58,Participants!$A$2:$B$86,2,FALSE)</f>
        <v/>
      </c>
    </row>
    <row r="59">
      <c r="A59" t="inlineStr">
        <is>
          <t>user_0115</t>
        </is>
      </c>
      <c r="B59" t="n">
        <v>22.5</v>
      </c>
      <c r="C59" t="n">
        <v>0</v>
      </c>
      <c r="D59" t="n">
        <v>7.5</v>
      </c>
      <c r="E59" t="n">
        <v>72.5</v>
      </c>
      <c r="F59" t="n">
        <v>15</v>
      </c>
      <c r="G59" t="n">
        <v>0</v>
      </c>
      <c r="H59">
        <f>AVERAGE(B59:G59)</f>
        <v/>
      </c>
      <c r="I59">
        <f>VLOOKUP(A59,Participants!$A$2:$B$86,2,FALSE)</f>
        <v/>
      </c>
    </row>
    <row r="60">
      <c r="A60" t="inlineStr">
        <is>
          <t>user_0116</t>
        </is>
      </c>
      <c r="B60" t="n">
        <v>5</v>
      </c>
      <c r="C60" t="n">
        <v>0</v>
      </c>
      <c r="D60" t="n">
        <v>0</v>
      </c>
      <c r="E60" t="n">
        <v>67.5</v>
      </c>
      <c r="F60" t="n">
        <v>20</v>
      </c>
      <c r="G60" t="n">
        <v>32.5</v>
      </c>
      <c r="H60">
        <f>AVERAGE(B60:G60)</f>
        <v/>
      </c>
      <c r="I60">
        <f>VLOOKUP(A60,Participants!$A$2:$B$86,2,FALSE)</f>
        <v/>
      </c>
    </row>
    <row r="61">
      <c r="A61" t="inlineStr">
        <is>
          <t>user_0118</t>
        </is>
      </c>
      <c r="B61" t="n">
        <v>40</v>
      </c>
      <c r="C61" t="n">
        <v>0</v>
      </c>
      <c r="D61" t="n">
        <v>20</v>
      </c>
      <c r="E61" t="n">
        <v>55</v>
      </c>
      <c r="F61" t="n">
        <v>65</v>
      </c>
      <c r="G61" t="n">
        <v>20</v>
      </c>
      <c r="H61">
        <f>AVERAGE(B61:G61)</f>
        <v/>
      </c>
      <c r="I61">
        <f>VLOOKUP(A61,Participants!$A$2:$B$86,2,FALSE)</f>
        <v/>
      </c>
    </row>
    <row r="62">
      <c r="A62" t="inlineStr">
        <is>
          <t>user_0119</t>
        </is>
      </c>
      <c r="B62" t="n">
        <v>27.5</v>
      </c>
      <c r="C62" t="n">
        <v>0</v>
      </c>
      <c r="D62" t="n">
        <v>0</v>
      </c>
      <c r="E62" t="n">
        <v>50</v>
      </c>
      <c r="F62" t="n">
        <v>30</v>
      </c>
      <c r="G62" t="n">
        <v>10</v>
      </c>
      <c r="H62">
        <f>AVERAGE(B62:G62)</f>
        <v/>
      </c>
      <c r="I62">
        <f>VLOOKUP(A62,Participants!$A$2:$B$86,2,FALSE)</f>
        <v/>
      </c>
    </row>
    <row r="63">
      <c r="A63" t="inlineStr">
        <is>
          <t>user_0120</t>
        </is>
      </c>
      <c r="B63" t="n">
        <v>45</v>
      </c>
      <c r="C63" t="n">
        <v>0</v>
      </c>
      <c r="D63" t="n">
        <v>22.5</v>
      </c>
      <c r="E63" t="n">
        <v>57.5</v>
      </c>
      <c r="F63" t="n">
        <v>25</v>
      </c>
      <c r="G63" t="n">
        <v>20</v>
      </c>
      <c r="H63">
        <f>AVERAGE(B63:G63)</f>
        <v/>
      </c>
      <c r="I63">
        <f>VLOOKUP(A63,Participants!$A$2:$B$86,2,FALSE)</f>
        <v/>
      </c>
    </row>
    <row r="64">
      <c r="A64" t="inlineStr">
        <is>
          <t>user_0121</t>
        </is>
      </c>
      <c r="B64" t="n">
        <v>45</v>
      </c>
      <c r="C64" t="n">
        <v>0</v>
      </c>
      <c r="D64" t="n">
        <v>0</v>
      </c>
      <c r="E64" t="n">
        <v>95</v>
      </c>
      <c r="F64" t="n">
        <v>40</v>
      </c>
      <c r="G64" t="n">
        <v>10</v>
      </c>
      <c r="H64">
        <f>AVERAGE(B64:G64)</f>
        <v/>
      </c>
      <c r="I64">
        <f>VLOOKUP(A64,Participants!$A$2:$B$86,2,FALSE)</f>
        <v/>
      </c>
    </row>
    <row r="65">
      <c r="A65" t="inlineStr">
        <is>
          <t>user_0123</t>
        </is>
      </c>
      <c r="B65" t="n">
        <v>20</v>
      </c>
      <c r="C65" t="n">
        <v>0</v>
      </c>
      <c r="D65" t="n">
        <v>2.5</v>
      </c>
      <c r="E65" t="n">
        <v>87.5</v>
      </c>
      <c r="F65" t="n">
        <v>7.5</v>
      </c>
      <c r="G65" t="n">
        <v>7.5</v>
      </c>
      <c r="H65">
        <f>AVERAGE(B65:G65)</f>
        <v/>
      </c>
      <c r="I65">
        <f>VLOOKUP(A65,Participants!$A$2:$B$86,2,FALSE)</f>
        <v/>
      </c>
    </row>
    <row r="66">
      <c r="A66" t="inlineStr">
        <is>
          <t>user_0124</t>
        </is>
      </c>
      <c r="B66" t="n">
        <v>20</v>
      </c>
      <c r="C66" t="n">
        <v>0</v>
      </c>
      <c r="D66" t="n">
        <v>2.5</v>
      </c>
      <c r="E66" t="n">
        <v>67.5</v>
      </c>
      <c r="F66" t="n">
        <v>30</v>
      </c>
      <c r="G66" t="n">
        <v>2.5</v>
      </c>
      <c r="H66">
        <f>AVERAGE(B66:G66)</f>
        <v/>
      </c>
      <c r="I66">
        <f>VLOOKUP(A66,Participants!$A$2:$B$86,2,FALSE)</f>
        <v/>
      </c>
    </row>
    <row r="67">
      <c r="A67" t="inlineStr">
        <is>
          <t>user_0125</t>
        </is>
      </c>
      <c r="B67" t="n">
        <v>27.5</v>
      </c>
      <c r="C67" t="n">
        <v>0</v>
      </c>
      <c r="D67" t="n">
        <v>0</v>
      </c>
      <c r="E67" t="n">
        <v>70</v>
      </c>
      <c r="F67" t="n">
        <v>22.5</v>
      </c>
      <c r="G67" t="n">
        <v>0</v>
      </c>
      <c r="H67">
        <f>AVERAGE(B67:G67)</f>
        <v/>
      </c>
      <c r="I67">
        <f>VLOOKUP(A67,Participants!$A$2:$B$86,2,FALSE)</f>
        <v/>
      </c>
    </row>
    <row r="68">
      <c r="A68" t="inlineStr">
        <is>
          <t>user_0126</t>
        </is>
      </c>
      <c r="B68" t="n">
        <v>22.5</v>
      </c>
      <c r="C68" t="n">
        <v>0</v>
      </c>
      <c r="D68" t="n">
        <v>0</v>
      </c>
      <c r="E68" t="n">
        <v>92.5</v>
      </c>
      <c r="F68" t="n">
        <v>22.5</v>
      </c>
      <c r="G68" t="n">
        <v>7.5</v>
      </c>
      <c r="H68">
        <f>AVERAGE(B68:G68)</f>
        <v/>
      </c>
      <c r="I68">
        <f>VLOOKUP(A68,Participants!$A$2:$B$86,2,FALSE)</f>
        <v/>
      </c>
    </row>
    <row r="69">
      <c r="A69" t="inlineStr">
        <is>
          <t>user_0127</t>
        </is>
      </c>
      <c r="B69" t="n">
        <v>0</v>
      </c>
      <c r="C69" t="n">
        <v>0</v>
      </c>
      <c r="D69" t="n">
        <v>0</v>
      </c>
      <c r="E69" t="n">
        <v>92.5</v>
      </c>
      <c r="F69" t="n">
        <v>2.5</v>
      </c>
      <c r="G69" t="n">
        <v>7.5</v>
      </c>
      <c r="H69">
        <f>AVERAGE(B69:G69)</f>
        <v/>
      </c>
      <c r="I69">
        <f>VLOOKUP(A69,Participants!$A$2:$B$86,2,FALSE)</f>
        <v/>
      </c>
    </row>
    <row r="70">
      <c r="A70" t="inlineStr">
        <is>
          <t>user_0128</t>
        </is>
      </c>
      <c r="B70" t="n">
        <v>60</v>
      </c>
      <c r="C70" t="n">
        <v>0</v>
      </c>
      <c r="D70" t="n">
        <v>2.5</v>
      </c>
      <c r="E70" t="n">
        <v>42.5</v>
      </c>
      <c r="F70" t="n">
        <v>0</v>
      </c>
      <c r="G70" t="n">
        <v>2.5</v>
      </c>
      <c r="H70">
        <f>AVERAGE(B70:G70)</f>
        <v/>
      </c>
      <c r="I70">
        <f>VLOOKUP(A70,Participants!$A$2:$B$86,2,FALSE)</f>
        <v/>
      </c>
    </row>
    <row r="71">
      <c r="A71" t="inlineStr">
        <is>
          <t>user_0129</t>
        </is>
      </c>
      <c r="B71" t="n">
        <v>0</v>
      </c>
      <c r="C71" t="n">
        <v>0</v>
      </c>
      <c r="D71" t="n">
        <v>0</v>
      </c>
      <c r="E71" t="n">
        <v>100</v>
      </c>
      <c r="F71" t="n">
        <v>0</v>
      </c>
      <c r="G71" t="n">
        <v>0</v>
      </c>
      <c r="H71">
        <f>AVERAGE(B71:G71)</f>
        <v/>
      </c>
      <c r="I71">
        <f>VLOOKUP(A71,Participants!$A$2:$B$86,2,FALSE)</f>
        <v/>
      </c>
    </row>
    <row r="72">
      <c r="A72" t="inlineStr">
        <is>
          <t>user_0130</t>
        </is>
      </c>
      <c r="B72" t="n">
        <v>0</v>
      </c>
      <c r="C72" t="n">
        <v>0</v>
      </c>
      <c r="D72" t="n">
        <v>14</v>
      </c>
      <c r="E72" t="n">
        <v>53</v>
      </c>
      <c r="F72" t="n">
        <v>4</v>
      </c>
      <c r="G72" t="n">
        <v>14</v>
      </c>
      <c r="H72">
        <f>AVERAGE(B72:G72)</f>
        <v/>
      </c>
      <c r="I72">
        <f>VLOOKUP(A72,Participants!$A$2:$B$86,2,FALSE)</f>
        <v/>
      </c>
    </row>
    <row r="73">
      <c r="A73" t="inlineStr">
        <is>
          <t>user_0131</t>
        </is>
      </c>
      <c r="B73" t="n">
        <v>52.5</v>
      </c>
      <c r="C73" t="n">
        <v>0</v>
      </c>
      <c r="D73" t="n">
        <v>15</v>
      </c>
      <c r="E73" t="n">
        <v>45</v>
      </c>
      <c r="F73" t="n">
        <v>42.5</v>
      </c>
      <c r="G73" t="n">
        <v>42.5</v>
      </c>
      <c r="H73">
        <f>AVERAGE(B73:G73)</f>
        <v/>
      </c>
      <c r="I73">
        <f>VLOOKUP(A73,Participants!$A$2:$B$86,2,FALSE)</f>
        <v/>
      </c>
    </row>
    <row r="74">
      <c r="A74" t="inlineStr">
        <is>
          <t>user_0132</t>
        </is>
      </c>
      <c r="B74" t="n">
        <v>5</v>
      </c>
      <c r="C74" t="n">
        <v>0</v>
      </c>
      <c r="D74" t="n">
        <v>35</v>
      </c>
      <c r="E74" t="n">
        <v>77.5</v>
      </c>
      <c r="F74" t="n">
        <v>5</v>
      </c>
      <c r="G74" t="n">
        <v>15</v>
      </c>
      <c r="H74">
        <f>AVERAGE(B74:G74)</f>
        <v/>
      </c>
      <c r="I74">
        <f>VLOOKUP(A74,Participants!$A$2:$B$86,2,FALSE)</f>
        <v/>
      </c>
    </row>
    <row r="75">
      <c r="A75" t="inlineStr">
        <is>
          <t>user_0133</t>
        </is>
      </c>
      <c r="B75" t="n">
        <v>0</v>
      </c>
      <c r="C75" t="n">
        <v>0</v>
      </c>
      <c r="D75" t="n">
        <v>22.5</v>
      </c>
      <c r="E75" t="n">
        <v>87.5</v>
      </c>
      <c r="F75" t="n">
        <v>0</v>
      </c>
      <c r="G75" t="n">
        <v>15</v>
      </c>
      <c r="H75">
        <f>AVERAGE(B75:G75)</f>
        <v/>
      </c>
      <c r="I75">
        <f>VLOOKUP(A75,Participants!$A$2:$B$86,2,FALSE)</f>
        <v/>
      </c>
    </row>
    <row r="76">
      <c r="A76" t="inlineStr">
        <is>
          <t>user_0134</t>
        </is>
      </c>
      <c r="B76" t="n">
        <v>7.5</v>
      </c>
      <c r="C76" t="n">
        <v>0</v>
      </c>
      <c r="D76" t="n">
        <v>2.5</v>
      </c>
      <c r="E76" t="n">
        <v>77.5</v>
      </c>
      <c r="F76" t="n">
        <v>10</v>
      </c>
      <c r="G76" t="n">
        <v>2.5</v>
      </c>
      <c r="H76">
        <f>AVERAGE(B76:G76)</f>
        <v/>
      </c>
      <c r="I76">
        <f>VLOOKUP(A76,Participants!$A$2:$B$86,2,FALSE)</f>
        <v/>
      </c>
    </row>
    <row r="77">
      <c r="A77" t="inlineStr">
        <is>
          <t>user_0150</t>
        </is>
      </c>
      <c r="B77" t="n">
        <v>2.5</v>
      </c>
      <c r="C77" t="n">
        <v>0</v>
      </c>
      <c r="D77" t="n">
        <v>15</v>
      </c>
      <c r="E77" t="n">
        <v>87.5</v>
      </c>
      <c r="F77" t="n">
        <v>2.5</v>
      </c>
      <c r="G77" t="n">
        <v>10</v>
      </c>
      <c r="H77">
        <f>AVERAGE(B77:G77)</f>
        <v/>
      </c>
      <c r="I77">
        <f>VLOOKUP(A77,Participants!$A$2:$B$86,2,FALSE)</f>
        <v/>
      </c>
    </row>
    <row r="78">
      <c r="A78" t="inlineStr">
        <is>
          <t>user_0152</t>
        </is>
      </c>
      <c r="B78" t="n">
        <v>5</v>
      </c>
      <c r="C78" t="n">
        <v>0</v>
      </c>
      <c r="D78" t="n">
        <v>50</v>
      </c>
      <c r="E78" t="n">
        <v>70</v>
      </c>
      <c r="F78" t="n">
        <v>67.5</v>
      </c>
      <c r="G78" t="n">
        <v>57.5</v>
      </c>
      <c r="H78">
        <f>AVERAGE(B78:G78)</f>
        <v/>
      </c>
      <c r="I78">
        <f>VLOOKUP(A78,Participants!$A$2:$B$86,2,FALSE)</f>
        <v/>
      </c>
    </row>
    <row r="79">
      <c r="A79" t="inlineStr">
        <is>
          <t>user_0153</t>
        </is>
      </c>
      <c r="B79" t="n">
        <v>0</v>
      </c>
      <c r="C79" t="n">
        <v>0</v>
      </c>
      <c r="D79" t="n">
        <v>22.5</v>
      </c>
      <c r="E79" t="n">
        <v>40</v>
      </c>
      <c r="F79" t="n">
        <v>12.5</v>
      </c>
      <c r="G79" t="n">
        <v>7.5</v>
      </c>
      <c r="H79">
        <f>AVERAGE(B79:G79)</f>
        <v/>
      </c>
      <c r="I79">
        <f>VLOOKUP(A79,Participants!$A$2:$B$86,2,FALSE)</f>
        <v/>
      </c>
    </row>
    <row r="80">
      <c r="A80" t="inlineStr">
        <is>
          <t>user_0158</t>
        </is>
      </c>
      <c r="B80" t="n">
        <v>55</v>
      </c>
      <c r="C80" t="n">
        <v>0</v>
      </c>
      <c r="D80" t="n">
        <v>47.5</v>
      </c>
      <c r="E80" t="n">
        <v>27.5</v>
      </c>
      <c r="F80" t="n">
        <v>25</v>
      </c>
      <c r="G80" t="n">
        <v>80</v>
      </c>
      <c r="H80">
        <f>AVERAGE(B80:G80)</f>
        <v/>
      </c>
      <c r="I80">
        <f>VLOOKUP(A80,Participants!$A$2:$B$86,2,FALSE)</f>
        <v/>
      </c>
    </row>
    <row r="81">
      <c r="A81" t="inlineStr">
        <is>
          <t>user_0170</t>
        </is>
      </c>
      <c r="B81" t="n">
        <v>40</v>
      </c>
      <c r="C81" t="n">
        <v>0</v>
      </c>
      <c r="D81" t="n">
        <v>40</v>
      </c>
      <c r="E81" t="n">
        <v>67.5</v>
      </c>
      <c r="F81" t="n">
        <v>42.5</v>
      </c>
      <c r="G81" t="n">
        <v>27.5</v>
      </c>
      <c r="H81">
        <f>AVERAGE(B81:G81)</f>
        <v/>
      </c>
      <c r="I81">
        <f>VLOOKUP(A81,Participants!$A$2:$B$86,2,FALSE)</f>
        <v/>
      </c>
    </row>
    <row r="82">
      <c r="A82" t="inlineStr">
        <is>
          <t>user_0171</t>
        </is>
      </c>
      <c r="B82" t="n">
        <v>27.5</v>
      </c>
      <c r="C82" t="n">
        <v>0</v>
      </c>
      <c r="D82" t="n">
        <v>20</v>
      </c>
      <c r="E82" t="n">
        <v>75</v>
      </c>
      <c r="F82" t="n">
        <v>40</v>
      </c>
      <c r="G82" t="n">
        <v>10</v>
      </c>
      <c r="H82">
        <f>AVERAGE(B82:G82)</f>
        <v/>
      </c>
      <c r="I82">
        <f>VLOOKUP(A82,Participants!$A$2:$B$86,2,FALSE)</f>
        <v/>
      </c>
    </row>
    <row r="83">
      <c r="A83" t="inlineStr">
        <is>
          <t>user_0201</t>
        </is>
      </c>
      <c r="B83" t="n">
        <v>0</v>
      </c>
      <c r="C83" t="n">
        <v>0</v>
      </c>
      <c r="D83" t="n">
        <v>2.5</v>
      </c>
      <c r="E83" t="n">
        <v>0.5</v>
      </c>
      <c r="F83" t="n">
        <v>4.5</v>
      </c>
      <c r="G83" t="n">
        <v>0</v>
      </c>
      <c r="H83">
        <f>AVERAGE(B83:G83)</f>
        <v/>
      </c>
      <c r="I83">
        <f>VLOOKUP(A83,Participants!$A$2:$B$86,2,FALSE)</f>
        <v/>
      </c>
    </row>
    <row r="84">
      <c r="A84" t="inlineStr">
        <is>
          <t>user_0203</t>
        </is>
      </c>
      <c r="B84" t="n">
        <v>40</v>
      </c>
      <c r="C84" t="n">
        <v>0</v>
      </c>
      <c r="D84" t="n">
        <v>17.5</v>
      </c>
      <c r="E84" t="n">
        <v>52.5</v>
      </c>
      <c r="F84" t="n">
        <v>70</v>
      </c>
      <c r="G84" t="n">
        <v>20</v>
      </c>
      <c r="H84">
        <f>AVERAGE(B84:G84)</f>
        <v/>
      </c>
      <c r="I84">
        <f>VLOOKUP(A84,Participants!$A$2:$B$86,2,FALSE)</f>
        <v/>
      </c>
    </row>
    <row r="85">
      <c r="A85" t="inlineStr">
        <is>
          <t>user_0204</t>
        </is>
      </c>
      <c r="B85" t="n">
        <v>30</v>
      </c>
      <c r="C85" t="n">
        <v>0</v>
      </c>
      <c r="D85" t="n">
        <v>2.5</v>
      </c>
      <c r="E85" t="n">
        <v>65</v>
      </c>
      <c r="F85" t="n">
        <v>17.5</v>
      </c>
      <c r="G85" t="n">
        <v>0</v>
      </c>
      <c r="H85">
        <f>AVERAGE(B85:G85)</f>
        <v/>
      </c>
      <c r="I85">
        <f>VLOOKUP(A85,Participants!$A$2:$B$86,2,FALSE)</f>
        <v/>
      </c>
    </row>
    <row r="86">
      <c r="A86" t="inlineStr">
        <is>
          <t>user_0205</t>
        </is>
      </c>
      <c r="B86" t="n">
        <v>10</v>
      </c>
      <c r="C86" t="n">
        <v>0</v>
      </c>
      <c r="D86" t="n">
        <v>2.5</v>
      </c>
      <c r="E86" t="n">
        <v>85</v>
      </c>
      <c r="F86" t="n">
        <v>10</v>
      </c>
      <c r="G86" t="n">
        <v>2.5</v>
      </c>
      <c r="H86">
        <f>AVERAGE(B86:G86)</f>
        <v/>
      </c>
      <c r="I86">
        <f>VLOOKUP(A86,Participants!$A$2:$B$86,2,FALSE)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2" t="inlineStr">
        <is>
          <t>participant_id</t>
        </is>
      </c>
      <c r="B1" s="2" t="inlineStr">
        <is>
          <t>item_1</t>
        </is>
      </c>
      <c r="C1" s="2" t="inlineStr">
        <is>
          <t>item_2</t>
        </is>
      </c>
      <c r="D1" s="2" t="inlineStr">
        <is>
          <t>item_3</t>
        </is>
      </c>
      <c r="E1" s="2" t="inlineStr">
        <is>
          <t>item_4</t>
        </is>
      </c>
      <c r="F1" s="2" t="inlineStr">
        <is>
          <t>item_5</t>
        </is>
      </c>
      <c r="G1" s="2" t="inlineStr">
        <is>
          <t>item_6</t>
        </is>
      </c>
      <c r="H1" s="2" t="inlineStr">
        <is>
          <t>item_7</t>
        </is>
      </c>
      <c r="I1" s="2" t="inlineStr">
        <is>
          <t>item_8</t>
        </is>
      </c>
      <c r="J1" s="2" t="inlineStr">
        <is>
          <t>item_9</t>
        </is>
      </c>
      <c r="K1" s="2" t="inlineStr">
        <is>
          <t>understanding</t>
        </is>
      </c>
      <c r="L1" s="2" t="inlineStr">
        <is>
          <t>performance</t>
        </is>
      </c>
      <c r="M1" s="2" t="inlineStr">
        <is>
          <t>overall</t>
        </is>
      </c>
      <c r="N1" s="2" t="inlineStr">
        <is>
          <t>user_type</t>
        </is>
      </c>
      <c r="O1" s="2" t="inlineStr">
        <is>
          <t>sum_u_wojton</t>
        </is>
      </c>
    </row>
    <row r="2">
      <c r="A2" t="inlineStr">
        <is>
          <t>user_0001</t>
        </is>
      </c>
      <c r="B2" t="n">
        <v>9.942143069508615</v>
      </c>
      <c r="C2" t="n">
        <v>4.5</v>
      </c>
      <c r="D2" t="n">
        <v>3.388620882364479</v>
      </c>
      <c r="E2" t="n">
        <v>5</v>
      </c>
      <c r="F2" t="n">
        <v>9.00858894519466</v>
      </c>
      <c r="G2" t="n">
        <v>5</v>
      </c>
      <c r="H2" t="n">
        <v>0.9914110548053392</v>
      </c>
      <c r="I2" t="n">
        <v>-2.830763951873094</v>
      </c>
      <c r="J2" t="n">
        <v>5</v>
      </c>
      <c r="K2">
        <f>AVERAGE(B2,D2,E2,I2)</f>
        <v/>
      </c>
      <c r="L2">
        <f>AVERAGE(C2,F2,G2,H2,J2)</f>
        <v/>
      </c>
      <c r="M2">
        <f>AVERAGE(B2:J2)</f>
        <v/>
      </c>
      <c r="N2">
        <f>VLOOKUP(A2,Participants!$A$2:$B$86,2,FALSE)</f>
        <v/>
      </c>
      <c r="O2">
        <f>B2+C2+D2+E2</f>
        <v/>
      </c>
    </row>
    <row r="3">
      <c r="A3" t="inlineStr">
        <is>
          <t>user_0002</t>
        </is>
      </c>
      <c r="B3" t="n">
        <v>5</v>
      </c>
      <c r="C3" t="n">
        <v>5</v>
      </c>
      <c r="D3" t="n">
        <v>4.5</v>
      </c>
      <c r="E3" t="n">
        <v>3.5</v>
      </c>
      <c r="F3" t="n">
        <v>5</v>
      </c>
      <c r="G3" t="n">
        <v>5.5</v>
      </c>
      <c r="H3" t="n">
        <v>5</v>
      </c>
      <c r="I3" t="n">
        <v>6</v>
      </c>
      <c r="J3" t="n">
        <v>4</v>
      </c>
      <c r="K3">
        <f>AVERAGE(B3,D3,E3,I3)</f>
        <v/>
      </c>
      <c r="L3">
        <f>AVERAGE(C3,F3,G3,H3,J3)</f>
        <v/>
      </c>
      <c r="M3">
        <f>AVERAGE(B3:J3)</f>
        <v/>
      </c>
      <c r="N3">
        <f>VLOOKUP(A3,Participants!$A$2:$B$86,2,FALSE)</f>
        <v/>
      </c>
      <c r="O3">
        <f>B3+C3+D3+E3</f>
        <v/>
      </c>
    </row>
    <row r="4">
      <c r="A4" t="inlineStr">
        <is>
          <t>user_0003</t>
        </is>
      </c>
      <c r="B4" t="n">
        <v>5.5</v>
      </c>
      <c r="C4" t="n">
        <v>4.5</v>
      </c>
      <c r="D4" t="n">
        <v>5</v>
      </c>
      <c r="E4" t="n">
        <v>4.5</v>
      </c>
      <c r="F4" t="n">
        <v>6.5</v>
      </c>
      <c r="G4" t="n">
        <v>6.5</v>
      </c>
      <c r="H4" t="n">
        <v>5.5</v>
      </c>
      <c r="I4" t="n">
        <v>6.5</v>
      </c>
      <c r="J4" t="n">
        <v>6</v>
      </c>
      <c r="K4">
        <f>AVERAGE(B4,D4,E4,I4)</f>
        <v/>
      </c>
      <c r="L4">
        <f>AVERAGE(C4,F4,G4,H4,J4)</f>
        <v/>
      </c>
      <c r="M4">
        <f>AVERAGE(B4:J4)</f>
        <v/>
      </c>
      <c r="N4">
        <f>VLOOKUP(A4,Participants!$A$2:$B$86,2,FALSE)</f>
        <v/>
      </c>
      <c r="O4">
        <f>B4+C4+D4+E4</f>
        <v/>
      </c>
    </row>
    <row r="5">
      <c r="A5" t="inlineStr">
        <is>
          <t>user_0004</t>
        </is>
      </c>
      <c r="B5" t="n">
        <v>6</v>
      </c>
      <c r="C5" t="n">
        <v>5.5</v>
      </c>
      <c r="D5" t="n">
        <v>5</v>
      </c>
      <c r="E5" t="n">
        <v>4.5</v>
      </c>
      <c r="F5" t="n">
        <v>5.5</v>
      </c>
      <c r="G5" t="n">
        <v>4.5</v>
      </c>
      <c r="H5" t="n">
        <v>4.5</v>
      </c>
      <c r="I5" t="n">
        <v>3</v>
      </c>
      <c r="J5" t="n">
        <v>4</v>
      </c>
      <c r="K5">
        <f>AVERAGE(B5,D5,E5,I5)</f>
        <v/>
      </c>
      <c r="L5">
        <f>AVERAGE(C5,F5,G5,H5,J5)</f>
        <v/>
      </c>
      <c r="M5">
        <f>AVERAGE(B5:J5)</f>
        <v/>
      </c>
      <c r="N5">
        <f>VLOOKUP(A5,Participants!$A$2:$B$86,2,FALSE)</f>
        <v/>
      </c>
      <c r="O5">
        <f>B5+C5+D5+E5</f>
        <v/>
      </c>
    </row>
    <row r="6">
      <c r="A6" t="inlineStr">
        <is>
          <t>user_0005</t>
        </is>
      </c>
      <c r="B6" t="n">
        <v>5.5</v>
      </c>
      <c r="C6" t="n">
        <v>4.5</v>
      </c>
      <c r="D6" t="n">
        <v>5.5</v>
      </c>
      <c r="E6" t="n">
        <v>4.5</v>
      </c>
      <c r="F6" t="n">
        <v>5</v>
      </c>
      <c r="G6" t="n">
        <v>4</v>
      </c>
      <c r="H6" t="n">
        <v>5</v>
      </c>
      <c r="I6" t="n">
        <v>4.5</v>
      </c>
      <c r="J6" t="n">
        <v>4.5</v>
      </c>
      <c r="K6">
        <f>AVERAGE(B6,D6,E6,I6)</f>
        <v/>
      </c>
      <c r="L6">
        <f>AVERAGE(C6,F6,G6,H6,J6)</f>
        <v/>
      </c>
      <c r="M6">
        <f>AVERAGE(B6:J6)</f>
        <v/>
      </c>
      <c r="N6">
        <f>VLOOKUP(A6,Participants!$A$2:$B$86,2,FALSE)</f>
        <v/>
      </c>
      <c r="O6">
        <f>B6+C6+D6+E6</f>
        <v/>
      </c>
    </row>
    <row r="7">
      <c r="A7" t="inlineStr">
        <is>
          <t>user_0006</t>
        </is>
      </c>
      <c r="B7" t="n">
        <v>4</v>
      </c>
      <c r="C7" t="n">
        <v>3.5</v>
      </c>
      <c r="D7" t="n">
        <v>3.5</v>
      </c>
      <c r="E7" t="n">
        <v>4</v>
      </c>
      <c r="F7" t="n">
        <v>4</v>
      </c>
      <c r="G7" t="n">
        <v>4</v>
      </c>
      <c r="H7" t="n">
        <v>4</v>
      </c>
      <c r="I7" t="n">
        <v>4.5</v>
      </c>
      <c r="J7" t="n">
        <v>4</v>
      </c>
      <c r="K7">
        <f>AVERAGE(B7,D7,E7,I7)</f>
        <v/>
      </c>
      <c r="L7">
        <f>AVERAGE(C7,F7,G7,H7,J7)</f>
        <v/>
      </c>
      <c r="M7">
        <f>AVERAGE(B7:J7)</f>
        <v/>
      </c>
      <c r="N7">
        <f>VLOOKUP(A7,Participants!$A$2:$B$86,2,FALSE)</f>
        <v/>
      </c>
      <c r="O7">
        <f>B7+C7+D7+E7</f>
        <v/>
      </c>
    </row>
    <row r="8">
      <c r="A8" t="inlineStr">
        <is>
          <t>user_0007</t>
        </is>
      </c>
      <c r="B8" t="n">
        <v>5</v>
      </c>
      <c r="C8" t="n">
        <v>5</v>
      </c>
      <c r="D8" t="n">
        <v>5</v>
      </c>
      <c r="E8" t="n">
        <v>3</v>
      </c>
      <c r="F8" t="n">
        <v>3</v>
      </c>
      <c r="G8" t="n">
        <v>4.5</v>
      </c>
      <c r="H8" t="n">
        <v>4.5</v>
      </c>
      <c r="I8" t="n">
        <v>5</v>
      </c>
      <c r="J8" t="n">
        <v>2</v>
      </c>
      <c r="K8">
        <f>AVERAGE(B8,D8,E8,I8)</f>
        <v/>
      </c>
      <c r="L8">
        <f>AVERAGE(C8,F8,G8,H8,J8)</f>
        <v/>
      </c>
      <c r="M8">
        <f>AVERAGE(B8:J8)</f>
        <v/>
      </c>
      <c r="N8">
        <f>VLOOKUP(A8,Participants!$A$2:$B$86,2,FALSE)</f>
        <v/>
      </c>
      <c r="O8">
        <f>B8+C8+D8+E8</f>
        <v/>
      </c>
    </row>
    <row r="9">
      <c r="A9" t="inlineStr">
        <is>
          <t>user_0008</t>
        </is>
      </c>
      <c r="B9" t="n">
        <v>4</v>
      </c>
      <c r="C9" t="n">
        <v>4</v>
      </c>
      <c r="D9" t="n">
        <v>4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4</v>
      </c>
      <c r="K9">
        <f>AVERAGE(B9,D9,E9,I9)</f>
        <v/>
      </c>
      <c r="L9">
        <f>AVERAGE(C9,F9,G9,H9,J9)</f>
        <v/>
      </c>
      <c r="M9">
        <f>AVERAGE(B9:J9)</f>
        <v/>
      </c>
      <c r="N9">
        <f>VLOOKUP(A9,Participants!$A$2:$B$86,2,FALSE)</f>
        <v/>
      </c>
      <c r="O9">
        <f>B9+C9+D9+E9</f>
        <v/>
      </c>
    </row>
    <row r="10">
      <c r="A10" t="inlineStr">
        <is>
          <t>user_0009</t>
        </is>
      </c>
      <c r="B10" t="n">
        <v>6.5</v>
      </c>
      <c r="C10" t="n">
        <v>6</v>
      </c>
      <c r="D10" t="n">
        <v>6</v>
      </c>
      <c r="E10" t="n">
        <v>7</v>
      </c>
      <c r="F10" t="n">
        <v>6</v>
      </c>
      <c r="G10" t="n">
        <v>6.5</v>
      </c>
      <c r="H10" t="n">
        <v>6.5</v>
      </c>
      <c r="I10" t="n">
        <v>6</v>
      </c>
      <c r="J10" t="n">
        <v>6</v>
      </c>
      <c r="K10">
        <f>AVERAGE(B10,D10,E10,I10)</f>
        <v/>
      </c>
      <c r="L10">
        <f>AVERAGE(C10,F10,G10,H10,J10)</f>
        <v/>
      </c>
      <c r="M10">
        <f>AVERAGE(B10:J10)</f>
        <v/>
      </c>
      <c r="N10">
        <f>VLOOKUP(A10,Participants!$A$2:$B$86,2,FALSE)</f>
        <v/>
      </c>
      <c r="O10">
        <f>B10+C10+D10+E10</f>
        <v/>
      </c>
    </row>
    <row r="11">
      <c r="A11" t="inlineStr">
        <is>
          <t>user_0010</t>
        </is>
      </c>
      <c r="B11" t="n">
        <v>6.5</v>
      </c>
      <c r="C11" t="n">
        <v>6.5</v>
      </c>
      <c r="D11" t="n">
        <v>6.5</v>
      </c>
      <c r="E11" t="n">
        <v>6.5</v>
      </c>
      <c r="F11" t="n">
        <v>6</v>
      </c>
      <c r="G11" t="n">
        <v>5.5</v>
      </c>
      <c r="H11" t="n">
        <v>4</v>
      </c>
      <c r="I11" t="n">
        <v>6.5</v>
      </c>
      <c r="J11" t="n">
        <v>6</v>
      </c>
      <c r="K11">
        <f>AVERAGE(B11,D11,E11,I11)</f>
        <v/>
      </c>
      <c r="L11">
        <f>AVERAGE(C11,F11,G11,H11,J11)</f>
        <v/>
      </c>
      <c r="M11">
        <f>AVERAGE(B11:J11)</f>
        <v/>
      </c>
      <c r="N11">
        <f>VLOOKUP(A11,Participants!$A$2:$B$86,2,FALSE)</f>
        <v/>
      </c>
      <c r="O11">
        <f>B11+C11+D11+E11</f>
        <v/>
      </c>
    </row>
    <row r="12">
      <c r="A12" t="inlineStr">
        <is>
          <t>user_0011</t>
        </is>
      </c>
      <c r="B12" t="n">
        <v>4.5</v>
      </c>
      <c r="C12" t="n">
        <v>5</v>
      </c>
      <c r="D12" t="n">
        <v>4.5</v>
      </c>
      <c r="E12" t="n">
        <v>5</v>
      </c>
      <c r="F12" t="n">
        <v>5</v>
      </c>
      <c r="G12" t="n">
        <v>5</v>
      </c>
      <c r="H12" t="n">
        <v>4</v>
      </c>
      <c r="I12" t="n">
        <v>2.5</v>
      </c>
      <c r="J12" t="n">
        <v>5.5</v>
      </c>
      <c r="K12">
        <f>AVERAGE(B12,D12,E12,I12)</f>
        <v/>
      </c>
      <c r="L12">
        <f>AVERAGE(C12,F12,G12,H12,J12)</f>
        <v/>
      </c>
      <c r="M12">
        <f>AVERAGE(B12:J12)</f>
        <v/>
      </c>
      <c r="N12">
        <f>VLOOKUP(A12,Participants!$A$2:$B$86,2,FALSE)</f>
        <v/>
      </c>
      <c r="O12">
        <f>B12+C12+D12+E12</f>
        <v/>
      </c>
    </row>
    <row r="13">
      <c r="A13" t="inlineStr">
        <is>
          <t>user_0013</t>
        </is>
      </c>
      <c r="B13" t="n">
        <v>4</v>
      </c>
      <c r="C13" t="n">
        <v>3.5</v>
      </c>
      <c r="D13" t="n">
        <v>4.5</v>
      </c>
      <c r="E13" t="n">
        <v>4.5</v>
      </c>
      <c r="F13" t="n">
        <v>4.5</v>
      </c>
      <c r="G13" t="n">
        <v>5</v>
      </c>
      <c r="H13" t="n">
        <v>3.5</v>
      </c>
      <c r="I13" t="n">
        <v>3</v>
      </c>
      <c r="J13" t="n">
        <v>4.5</v>
      </c>
      <c r="K13">
        <f>AVERAGE(B13,D13,E13,I13)</f>
        <v/>
      </c>
      <c r="L13">
        <f>AVERAGE(C13,F13,G13,H13,J13)</f>
        <v/>
      </c>
      <c r="M13">
        <f>AVERAGE(B13:J13)</f>
        <v/>
      </c>
      <c r="N13">
        <f>VLOOKUP(A13,Participants!$A$2:$B$86,2,FALSE)</f>
        <v/>
      </c>
      <c r="O13">
        <f>B13+C13+D13+E13</f>
        <v/>
      </c>
    </row>
    <row r="14">
      <c r="A14" t="inlineStr">
        <is>
          <t>user_0015</t>
        </is>
      </c>
      <c r="B14" t="n">
        <v>6.5</v>
      </c>
      <c r="C14" t="n">
        <v>5</v>
      </c>
      <c r="D14" t="n">
        <v>5</v>
      </c>
      <c r="E14" t="n">
        <v>4.5</v>
      </c>
      <c r="F14" t="n">
        <v>6.5</v>
      </c>
      <c r="G14" t="n">
        <v>6.5</v>
      </c>
      <c r="H14" t="n">
        <v>6.5</v>
      </c>
      <c r="I14" t="n">
        <v>4.5</v>
      </c>
      <c r="J14" t="n">
        <v>5.5</v>
      </c>
      <c r="K14">
        <f>AVERAGE(B14,D14,E14,I14)</f>
        <v/>
      </c>
      <c r="L14">
        <f>AVERAGE(C14,F14,G14,H14,J14)</f>
        <v/>
      </c>
      <c r="M14">
        <f>AVERAGE(B14:J14)</f>
        <v/>
      </c>
      <c r="N14">
        <f>VLOOKUP(A14,Participants!$A$2:$B$86,2,FALSE)</f>
        <v/>
      </c>
      <c r="O14">
        <f>B14+C14+D14+E14</f>
        <v/>
      </c>
    </row>
    <row r="15">
      <c r="A15" t="inlineStr">
        <is>
          <t>user_0016</t>
        </is>
      </c>
      <c r="B15" t="n">
        <v>4.5</v>
      </c>
      <c r="C15" t="n">
        <v>4</v>
      </c>
      <c r="D15" t="n">
        <v>4</v>
      </c>
      <c r="E15" t="n">
        <v>4</v>
      </c>
      <c r="F15" t="n">
        <v>5.5</v>
      </c>
      <c r="G15" t="n">
        <v>4.5</v>
      </c>
      <c r="H15" t="n">
        <v>4</v>
      </c>
      <c r="I15" t="n">
        <v>4</v>
      </c>
      <c r="J15" t="n">
        <v>4.5</v>
      </c>
      <c r="K15">
        <f>AVERAGE(B15,D15,E15,I15)</f>
        <v/>
      </c>
      <c r="L15">
        <f>AVERAGE(C15,F15,G15,H15,J15)</f>
        <v/>
      </c>
      <c r="M15">
        <f>AVERAGE(B15:J15)</f>
        <v/>
      </c>
      <c r="N15">
        <f>VLOOKUP(A15,Participants!$A$2:$B$86,2,FALSE)</f>
        <v/>
      </c>
      <c r="O15">
        <f>B15+C15+D15+E15</f>
        <v/>
      </c>
    </row>
    <row r="16">
      <c r="A16" t="inlineStr">
        <is>
          <t>user_0017</t>
        </is>
      </c>
      <c r="B16" t="n">
        <v>5.5</v>
      </c>
      <c r="C16" t="n">
        <v>5</v>
      </c>
      <c r="D16" t="n">
        <v>5.5</v>
      </c>
      <c r="E16" t="n">
        <v>5.5</v>
      </c>
      <c r="F16" t="n">
        <v>5.5</v>
      </c>
      <c r="G16" t="n">
        <v>5</v>
      </c>
      <c r="H16" t="n">
        <v>4</v>
      </c>
      <c r="I16" t="n">
        <v>5.5</v>
      </c>
      <c r="J16" t="n">
        <v>5.5</v>
      </c>
      <c r="K16">
        <f>AVERAGE(B16,D16,E16,I16)</f>
        <v/>
      </c>
      <c r="L16">
        <f>AVERAGE(C16,F16,G16,H16,J16)</f>
        <v/>
      </c>
      <c r="M16">
        <f>AVERAGE(B16:J16)</f>
        <v/>
      </c>
      <c r="N16">
        <f>VLOOKUP(A16,Participants!$A$2:$B$86,2,FALSE)</f>
        <v/>
      </c>
      <c r="O16">
        <f>B16+C16+D16+E16</f>
        <v/>
      </c>
    </row>
    <row r="17">
      <c r="A17" t="inlineStr">
        <is>
          <t>user_0018</t>
        </is>
      </c>
      <c r="B17" t="n">
        <v>6.5</v>
      </c>
      <c r="C17" t="n">
        <v>6</v>
      </c>
      <c r="D17" t="n">
        <v>6.5</v>
      </c>
      <c r="E17" t="n">
        <v>5</v>
      </c>
      <c r="F17" t="n">
        <v>7</v>
      </c>
      <c r="G17" t="n">
        <v>6.5</v>
      </c>
      <c r="H17" t="n">
        <v>6.5</v>
      </c>
      <c r="I17" t="n">
        <v>4</v>
      </c>
      <c r="J17" t="n">
        <v>5.5</v>
      </c>
      <c r="K17">
        <f>AVERAGE(B17,D17,E17,I17)</f>
        <v/>
      </c>
      <c r="L17">
        <f>AVERAGE(C17,F17,G17,H17,J17)</f>
        <v/>
      </c>
      <c r="M17">
        <f>AVERAGE(B17:J17)</f>
        <v/>
      </c>
      <c r="N17">
        <f>VLOOKUP(A17,Participants!$A$2:$B$86,2,FALSE)</f>
        <v/>
      </c>
      <c r="O17">
        <f>B17+C17+D17+E17</f>
        <v/>
      </c>
    </row>
    <row r="18">
      <c r="A18" t="inlineStr">
        <is>
          <t>user_0019</t>
        </is>
      </c>
      <c r="B18" t="n">
        <v>5.5</v>
      </c>
      <c r="C18" t="n">
        <v>5</v>
      </c>
      <c r="D18" t="n">
        <v>4.5</v>
      </c>
      <c r="E18" t="n">
        <v>5.5</v>
      </c>
      <c r="F18" t="n">
        <v>6.5</v>
      </c>
      <c r="G18" t="n">
        <v>6</v>
      </c>
      <c r="H18" t="n">
        <v>5</v>
      </c>
      <c r="I18" t="n">
        <v>3</v>
      </c>
      <c r="J18" t="n">
        <v>4.5</v>
      </c>
      <c r="K18">
        <f>AVERAGE(B18,D18,E18,I18)</f>
        <v/>
      </c>
      <c r="L18">
        <f>AVERAGE(C18,F18,G18,H18,J18)</f>
        <v/>
      </c>
      <c r="M18">
        <f>AVERAGE(B18:J18)</f>
        <v/>
      </c>
      <c r="N18">
        <f>VLOOKUP(A18,Participants!$A$2:$B$86,2,FALSE)</f>
        <v/>
      </c>
      <c r="O18">
        <f>B18+C18+D18+E18</f>
        <v/>
      </c>
    </row>
    <row r="19">
      <c r="A19" t="inlineStr">
        <is>
          <t>user_0020</t>
        </is>
      </c>
      <c r="B19" t="n">
        <v>4.5</v>
      </c>
      <c r="C19" t="n">
        <v>4.5</v>
      </c>
      <c r="D19" t="n">
        <v>5.5</v>
      </c>
      <c r="E19" t="n">
        <v>6</v>
      </c>
      <c r="F19" t="n">
        <v>6</v>
      </c>
      <c r="G19" t="n">
        <v>5.5</v>
      </c>
      <c r="H19" t="n">
        <v>6</v>
      </c>
      <c r="I19" t="n">
        <v>3</v>
      </c>
      <c r="J19" t="n">
        <v>6</v>
      </c>
      <c r="K19">
        <f>AVERAGE(B19,D19,E19,I19)</f>
        <v/>
      </c>
      <c r="L19">
        <f>AVERAGE(C19,F19,G19,H19,J19)</f>
        <v/>
      </c>
      <c r="M19">
        <f>AVERAGE(B19:J19)</f>
        <v/>
      </c>
      <c r="N19">
        <f>VLOOKUP(A19,Participants!$A$2:$B$86,2,FALSE)</f>
        <v/>
      </c>
      <c r="O19">
        <f>B19+C19+D19+E19</f>
        <v/>
      </c>
    </row>
    <row r="20">
      <c r="A20" t="inlineStr">
        <is>
          <t>user_0021</t>
        </is>
      </c>
      <c r="B20" t="n">
        <v>4</v>
      </c>
      <c r="C20" t="n">
        <v>4</v>
      </c>
      <c r="D20" t="n">
        <v>5</v>
      </c>
      <c r="E20" t="n">
        <v>6</v>
      </c>
      <c r="F20" t="n">
        <v>6.5</v>
      </c>
      <c r="G20" t="n">
        <v>6</v>
      </c>
      <c r="H20" t="n">
        <v>5.5</v>
      </c>
      <c r="I20" t="n">
        <v>5</v>
      </c>
      <c r="J20" t="n">
        <v>4.5</v>
      </c>
      <c r="K20">
        <f>AVERAGE(B20,D20,E20,I20)</f>
        <v/>
      </c>
      <c r="L20">
        <f>AVERAGE(C20,F20,G20,H20,J20)</f>
        <v/>
      </c>
      <c r="M20">
        <f>AVERAGE(B20:J20)</f>
        <v/>
      </c>
      <c r="N20">
        <f>VLOOKUP(A20,Participants!$A$2:$B$86,2,FALSE)</f>
        <v/>
      </c>
      <c r="O20">
        <f>B20+C20+D20+E20</f>
        <v/>
      </c>
    </row>
    <row r="21">
      <c r="A21" t="inlineStr">
        <is>
          <t>user_0022</t>
        </is>
      </c>
      <c r="B21" t="n">
        <v>5.5</v>
      </c>
      <c r="C21" t="n">
        <v>3.5</v>
      </c>
      <c r="D21" t="n">
        <v>5.5</v>
      </c>
      <c r="E21" t="n">
        <v>5.5</v>
      </c>
      <c r="F21" t="n">
        <v>7</v>
      </c>
      <c r="G21" t="n">
        <v>5</v>
      </c>
      <c r="H21" t="n">
        <v>6.5</v>
      </c>
      <c r="I21" t="n">
        <v>3</v>
      </c>
      <c r="J21" t="n">
        <v>4.5</v>
      </c>
      <c r="K21">
        <f>AVERAGE(B21,D21,E21,I21)</f>
        <v/>
      </c>
      <c r="L21">
        <f>AVERAGE(C21,F21,G21,H21,J21)</f>
        <v/>
      </c>
      <c r="M21">
        <f>AVERAGE(B21:J21)</f>
        <v/>
      </c>
      <c r="N21">
        <f>VLOOKUP(A21,Participants!$A$2:$B$86,2,FALSE)</f>
        <v/>
      </c>
      <c r="O21">
        <f>B21+C21+D21+E21</f>
        <v/>
      </c>
    </row>
    <row r="22">
      <c r="A22" t="inlineStr">
        <is>
          <t>user_0023</t>
        </is>
      </c>
      <c r="B22" t="n">
        <v>6</v>
      </c>
      <c r="C22" t="n">
        <v>6</v>
      </c>
      <c r="D22" t="n">
        <v>6.5</v>
      </c>
      <c r="E22" t="n">
        <v>5</v>
      </c>
      <c r="F22" t="n">
        <v>6.5</v>
      </c>
      <c r="G22" t="n">
        <v>6</v>
      </c>
      <c r="H22" t="n">
        <v>6.5</v>
      </c>
      <c r="I22" t="n">
        <v>5</v>
      </c>
      <c r="J22" t="n">
        <v>6</v>
      </c>
      <c r="K22">
        <f>AVERAGE(B22,D22,E22,I22)</f>
        <v/>
      </c>
      <c r="L22">
        <f>AVERAGE(C22,F22,G22,H22,J22)</f>
        <v/>
      </c>
      <c r="M22">
        <f>AVERAGE(B22:J22)</f>
        <v/>
      </c>
      <c r="N22">
        <f>VLOOKUP(A22,Participants!$A$2:$B$86,2,FALSE)</f>
        <v/>
      </c>
      <c r="O22">
        <f>B22+C22+D22+E22</f>
        <v/>
      </c>
    </row>
    <row r="23">
      <c r="A23" t="inlineStr">
        <is>
          <t>user_0024</t>
        </is>
      </c>
      <c r="B23" t="n">
        <v>6</v>
      </c>
      <c r="C23" t="n">
        <v>5</v>
      </c>
      <c r="D23" t="n">
        <v>7</v>
      </c>
      <c r="E23" t="n">
        <v>6</v>
      </c>
      <c r="F23" t="n">
        <v>7</v>
      </c>
      <c r="G23" t="n">
        <v>6</v>
      </c>
      <c r="H23" t="n">
        <v>5.5</v>
      </c>
      <c r="I23" t="n">
        <v>6.5</v>
      </c>
      <c r="J23" t="n">
        <v>5.5</v>
      </c>
      <c r="K23">
        <f>AVERAGE(B23,D23,E23,I23)</f>
        <v/>
      </c>
      <c r="L23">
        <f>AVERAGE(C23,F23,G23,H23,J23)</f>
        <v/>
      </c>
      <c r="M23">
        <f>AVERAGE(B23:J23)</f>
        <v/>
      </c>
      <c r="N23">
        <f>VLOOKUP(A23,Participants!$A$2:$B$86,2,FALSE)</f>
        <v/>
      </c>
      <c r="O23">
        <f>B23+C23+D23+E23</f>
        <v/>
      </c>
    </row>
    <row r="24">
      <c r="A24" t="inlineStr">
        <is>
          <t>user_0026</t>
        </is>
      </c>
      <c r="B24" t="n">
        <v>4.5</v>
      </c>
      <c r="C24" t="n">
        <v>4.5</v>
      </c>
      <c r="D24" t="n">
        <v>5</v>
      </c>
      <c r="E24" t="n">
        <v>5</v>
      </c>
      <c r="F24" t="n">
        <v>4</v>
      </c>
      <c r="G24" t="n">
        <v>4.5</v>
      </c>
      <c r="H24" t="n">
        <v>4.5</v>
      </c>
      <c r="I24" t="n">
        <v>4.5</v>
      </c>
      <c r="J24" t="n">
        <v>4.5</v>
      </c>
      <c r="K24">
        <f>AVERAGE(B24,D24,E24,I24)</f>
        <v/>
      </c>
      <c r="L24">
        <f>AVERAGE(C24,F24,G24,H24,J24)</f>
        <v/>
      </c>
      <c r="M24">
        <f>AVERAGE(B24:J24)</f>
        <v/>
      </c>
      <c r="N24">
        <f>VLOOKUP(A24,Participants!$A$2:$B$86,2,FALSE)</f>
        <v/>
      </c>
      <c r="O24">
        <f>B24+C24+D24+E24</f>
        <v/>
      </c>
    </row>
    <row r="25">
      <c r="A25" t="inlineStr">
        <is>
          <t>user_0027</t>
        </is>
      </c>
      <c r="B25" t="n">
        <v>4</v>
      </c>
      <c r="C25" t="n">
        <v>3.5</v>
      </c>
      <c r="D25" t="n">
        <v>4</v>
      </c>
      <c r="E25" t="n">
        <v>4</v>
      </c>
      <c r="F25" t="n">
        <v>4.5</v>
      </c>
      <c r="G25" t="n">
        <v>4.5</v>
      </c>
      <c r="H25" t="n">
        <v>4</v>
      </c>
      <c r="I25" t="n">
        <v>4</v>
      </c>
      <c r="J25" t="n">
        <v>4.5</v>
      </c>
      <c r="K25">
        <f>AVERAGE(B25,D25,E25,I25)</f>
        <v/>
      </c>
      <c r="L25">
        <f>AVERAGE(C25,F25,G25,H25,J25)</f>
        <v/>
      </c>
      <c r="M25">
        <f>AVERAGE(B25:J25)</f>
        <v/>
      </c>
      <c r="N25">
        <f>VLOOKUP(A25,Participants!$A$2:$B$86,2,FALSE)</f>
        <v/>
      </c>
      <c r="O25">
        <f>B25+C25+D25+E25</f>
        <v/>
      </c>
    </row>
    <row r="26">
      <c r="A26" t="inlineStr">
        <is>
          <t>user_0028</t>
        </is>
      </c>
      <c r="B26" t="n">
        <v>5</v>
      </c>
      <c r="C26" t="n">
        <v>4</v>
      </c>
      <c r="D26" t="n">
        <v>5</v>
      </c>
      <c r="E26" t="n">
        <v>4.5</v>
      </c>
      <c r="F26" t="n">
        <v>5.5</v>
      </c>
      <c r="G26" t="n">
        <v>5.5</v>
      </c>
      <c r="H26" t="n">
        <v>5.5</v>
      </c>
      <c r="I26" t="n">
        <v>4</v>
      </c>
      <c r="J26" t="n">
        <v>3.5</v>
      </c>
      <c r="K26">
        <f>AVERAGE(B26,D26,E26,I26)</f>
        <v/>
      </c>
      <c r="L26">
        <f>AVERAGE(C26,F26,G26,H26,J26)</f>
        <v/>
      </c>
      <c r="M26">
        <f>AVERAGE(B26:J26)</f>
        <v/>
      </c>
      <c r="N26">
        <f>VLOOKUP(A26,Participants!$A$2:$B$86,2,FALSE)</f>
        <v/>
      </c>
      <c r="O26">
        <f>B26+C26+D26+E26</f>
        <v/>
      </c>
    </row>
    <row r="27">
      <c r="A27" t="inlineStr">
        <is>
          <t>user_0029</t>
        </is>
      </c>
      <c r="B27" t="n">
        <v>5.5</v>
      </c>
      <c r="C27" t="n">
        <v>6.5</v>
      </c>
      <c r="D27" t="n">
        <v>6</v>
      </c>
      <c r="E27" t="n">
        <v>3</v>
      </c>
      <c r="F27" t="n">
        <v>2.5</v>
      </c>
      <c r="G27" t="n">
        <v>3.5</v>
      </c>
      <c r="H27" t="n">
        <v>4</v>
      </c>
      <c r="I27" t="n">
        <v>2.5</v>
      </c>
      <c r="J27" t="n">
        <v>5</v>
      </c>
      <c r="K27">
        <f>AVERAGE(B27,D27,E27,I27)</f>
        <v/>
      </c>
      <c r="L27">
        <f>AVERAGE(C27,F27,G27,H27,J27)</f>
        <v/>
      </c>
      <c r="M27">
        <f>AVERAGE(B27:J27)</f>
        <v/>
      </c>
      <c r="N27">
        <f>VLOOKUP(A27,Participants!$A$2:$B$86,2,FALSE)</f>
        <v/>
      </c>
      <c r="O27">
        <f>B27+C27+D27+E27</f>
        <v/>
      </c>
    </row>
    <row r="28">
      <c r="A28" t="inlineStr">
        <is>
          <t>user_0031</t>
        </is>
      </c>
      <c r="B28" t="n">
        <v>4</v>
      </c>
      <c r="C28" t="n">
        <v>4</v>
      </c>
      <c r="D28" t="n">
        <v>4</v>
      </c>
      <c r="E28" t="n">
        <v>5.5</v>
      </c>
      <c r="F28" t="n">
        <v>5</v>
      </c>
      <c r="G28" t="n">
        <v>4</v>
      </c>
      <c r="H28" t="n">
        <v>5</v>
      </c>
      <c r="I28" t="n">
        <v>5</v>
      </c>
      <c r="J28" t="n">
        <v>4</v>
      </c>
      <c r="K28">
        <f>AVERAGE(B28,D28,E28,I28)</f>
        <v/>
      </c>
      <c r="L28">
        <f>AVERAGE(C28,F28,G28,H28,J28)</f>
        <v/>
      </c>
      <c r="M28">
        <f>AVERAGE(B28:J28)</f>
        <v/>
      </c>
      <c r="N28">
        <f>VLOOKUP(A28,Participants!$A$2:$B$86,2,FALSE)</f>
        <v/>
      </c>
      <c r="O28">
        <f>B28+C28+D28+E28</f>
        <v/>
      </c>
    </row>
    <row r="29">
      <c r="A29" t="inlineStr">
        <is>
          <t>user_0032</t>
        </is>
      </c>
      <c r="B29" t="n">
        <v>3.5</v>
      </c>
      <c r="C29" t="n">
        <v>4</v>
      </c>
      <c r="D29" t="n">
        <v>4</v>
      </c>
      <c r="E29" t="n">
        <v>5.5</v>
      </c>
      <c r="F29" t="n">
        <v>3</v>
      </c>
      <c r="G29" t="n">
        <v>5</v>
      </c>
      <c r="H29" t="n">
        <v>6</v>
      </c>
      <c r="I29" t="n">
        <v>5</v>
      </c>
      <c r="J29" t="n">
        <v>4</v>
      </c>
      <c r="K29">
        <f>AVERAGE(B29,D29,E29,I29)</f>
        <v/>
      </c>
      <c r="L29">
        <f>AVERAGE(C29,F29,G29,H29,J29)</f>
        <v/>
      </c>
      <c r="M29">
        <f>AVERAGE(B29:J29)</f>
        <v/>
      </c>
      <c r="N29">
        <f>VLOOKUP(A29,Participants!$A$2:$B$86,2,FALSE)</f>
        <v/>
      </c>
      <c r="O29">
        <f>B29+C29+D29+E29</f>
        <v/>
      </c>
    </row>
    <row r="30">
      <c r="A30" t="inlineStr">
        <is>
          <t>user_0033</t>
        </is>
      </c>
      <c r="B30" t="n">
        <v>4</v>
      </c>
      <c r="C30" t="n">
        <v>5</v>
      </c>
      <c r="D30" t="n">
        <v>5</v>
      </c>
      <c r="E30" t="n">
        <v>3.5</v>
      </c>
      <c r="F30" t="n">
        <v>7</v>
      </c>
      <c r="G30" t="n">
        <v>6</v>
      </c>
      <c r="H30" t="n">
        <v>6</v>
      </c>
      <c r="I30" t="n">
        <v>2.5</v>
      </c>
      <c r="J30" t="n">
        <v>5.5</v>
      </c>
      <c r="K30">
        <f>AVERAGE(B30,D30,E30,I30)</f>
        <v/>
      </c>
      <c r="L30">
        <f>AVERAGE(C30,F30,G30,H30,J30)</f>
        <v/>
      </c>
      <c r="M30">
        <f>AVERAGE(B30:J30)</f>
        <v/>
      </c>
      <c r="N30">
        <f>VLOOKUP(A30,Participants!$A$2:$B$86,2,FALSE)</f>
        <v/>
      </c>
      <c r="O30">
        <f>B30+C30+D30+E30</f>
        <v/>
      </c>
    </row>
    <row r="31">
      <c r="A31" t="inlineStr">
        <is>
          <t>user_0034</t>
        </is>
      </c>
      <c r="B31" t="n">
        <v>4.5</v>
      </c>
      <c r="C31" t="n">
        <v>4</v>
      </c>
      <c r="D31" t="n">
        <v>5</v>
      </c>
      <c r="E31" t="n">
        <v>4.5</v>
      </c>
      <c r="F31" t="n">
        <v>4.5</v>
      </c>
      <c r="G31" t="n">
        <v>4.5</v>
      </c>
      <c r="H31" t="n">
        <v>5</v>
      </c>
      <c r="I31" t="n">
        <v>5</v>
      </c>
      <c r="J31" t="n">
        <v>2.5</v>
      </c>
      <c r="K31">
        <f>AVERAGE(B31,D31,E31,I31)</f>
        <v/>
      </c>
      <c r="L31">
        <f>AVERAGE(C31,F31,G31,H31,J31)</f>
        <v/>
      </c>
      <c r="M31">
        <f>AVERAGE(B31:J31)</f>
        <v/>
      </c>
      <c r="N31">
        <f>VLOOKUP(A31,Participants!$A$2:$B$86,2,FALSE)</f>
        <v/>
      </c>
      <c r="O31">
        <f>B31+C31+D31+E31</f>
        <v/>
      </c>
    </row>
    <row r="32">
      <c r="A32" t="inlineStr">
        <is>
          <t>user_0037</t>
        </is>
      </c>
      <c r="B32" t="n">
        <v>6</v>
      </c>
      <c r="C32" t="n">
        <v>6</v>
      </c>
      <c r="D32" t="n">
        <v>7</v>
      </c>
      <c r="E32" t="n">
        <v>6</v>
      </c>
      <c r="F32" t="n">
        <v>6.5</v>
      </c>
      <c r="G32" t="n">
        <v>7</v>
      </c>
      <c r="H32" t="n">
        <v>7</v>
      </c>
      <c r="I32" t="n">
        <v>3</v>
      </c>
      <c r="J32" t="n">
        <v>6</v>
      </c>
      <c r="K32">
        <f>AVERAGE(B32,D32,E32,I32)</f>
        <v/>
      </c>
      <c r="L32">
        <f>AVERAGE(C32,F32,G32,H32,J32)</f>
        <v/>
      </c>
      <c r="M32">
        <f>AVERAGE(B32:J32)</f>
        <v/>
      </c>
      <c r="N32">
        <f>VLOOKUP(A32,Participants!$A$2:$B$86,2,FALSE)</f>
        <v/>
      </c>
      <c r="O32">
        <f>B32+C32+D32+E32</f>
        <v/>
      </c>
    </row>
    <row r="33">
      <c r="A33" t="inlineStr">
        <is>
          <t>user_0039</t>
        </is>
      </c>
      <c r="B33" t="n">
        <v>5.5</v>
      </c>
      <c r="C33" t="n">
        <v>4</v>
      </c>
      <c r="D33" t="n">
        <v>5</v>
      </c>
      <c r="E33" t="n">
        <v>4</v>
      </c>
      <c r="F33" t="n">
        <v>5</v>
      </c>
      <c r="G33" t="n">
        <v>4</v>
      </c>
      <c r="H33" t="n">
        <v>5</v>
      </c>
      <c r="I33" t="n">
        <v>4</v>
      </c>
      <c r="J33" t="n">
        <v>4</v>
      </c>
      <c r="K33">
        <f>AVERAGE(B33,D33,E33,I33)</f>
        <v/>
      </c>
      <c r="L33">
        <f>AVERAGE(C33,F33,G33,H33,J33)</f>
        <v/>
      </c>
      <c r="M33">
        <f>AVERAGE(B33:J33)</f>
        <v/>
      </c>
      <c r="N33">
        <f>VLOOKUP(A33,Participants!$A$2:$B$86,2,FALSE)</f>
        <v/>
      </c>
      <c r="O33">
        <f>B33+C33+D33+E33</f>
        <v/>
      </c>
    </row>
    <row r="34">
      <c r="A34" t="inlineStr">
        <is>
          <t>user_0042</t>
        </is>
      </c>
      <c r="B34" t="n">
        <v>4.5</v>
      </c>
      <c r="C34" t="n">
        <v>5</v>
      </c>
      <c r="D34" t="n">
        <v>4.5</v>
      </c>
      <c r="E34" t="n">
        <v>5</v>
      </c>
      <c r="F34" t="n">
        <v>5</v>
      </c>
      <c r="G34" t="n">
        <v>4.5</v>
      </c>
      <c r="H34" t="n">
        <v>4.5</v>
      </c>
      <c r="I34" t="n">
        <v>4</v>
      </c>
      <c r="J34" t="n">
        <v>5</v>
      </c>
      <c r="K34">
        <f>AVERAGE(B34,D34,E34,I34)</f>
        <v/>
      </c>
      <c r="L34">
        <f>AVERAGE(C34,F34,G34,H34,J34)</f>
        <v/>
      </c>
      <c r="M34">
        <f>AVERAGE(B34:J34)</f>
        <v/>
      </c>
      <c r="N34">
        <f>VLOOKUP(A34,Participants!$A$2:$B$86,2,FALSE)</f>
        <v/>
      </c>
      <c r="O34">
        <f>B34+C34+D34+E34</f>
        <v/>
      </c>
    </row>
    <row r="35">
      <c r="A35" t="inlineStr">
        <is>
          <t>user_0043</t>
        </is>
      </c>
      <c r="B35" t="n">
        <v>4.5</v>
      </c>
      <c r="C35" t="n">
        <v>4.5</v>
      </c>
      <c r="D35" t="n">
        <v>4.5</v>
      </c>
      <c r="E35" t="n">
        <v>5</v>
      </c>
      <c r="F35" t="n">
        <v>5</v>
      </c>
      <c r="G35" t="n">
        <v>4.5</v>
      </c>
      <c r="H35" t="n">
        <v>4.5</v>
      </c>
      <c r="I35" t="n">
        <v>4.5</v>
      </c>
      <c r="J35" t="n">
        <v>5</v>
      </c>
      <c r="K35">
        <f>AVERAGE(B35,D35,E35,I35)</f>
        <v/>
      </c>
      <c r="L35">
        <f>AVERAGE(C35,F35,G35,H35,J35)</f>
        <v/>
      </c>
      <c r="M35">
        <f>AVERAGE(B35:J35)</f>
        <v/>
      </c>
      <c r="N35">
        <f>VLOOKUP(A35,Participants!$A$2:$B$86,2,FALSE)</f>
        <v/>
      </c>
      <c r="O35">
        <f>B35+C35+D35+E35</f>
        <v/>
      </c>
    </row>
    <row r="36">
      <c r="A36" t="inlineStr">
        <is>
          <t>user_0045</t>
        </is>
      </c>
      <c r="B36" t="n">
        <v>6.5</v>
      </c>
      <c r="C36" t="n">
        <v>5</v>
      </c>
      <c r="D36" t="n">
        <v>4.5</v>
      </c>
      <c r="E36" t="n">
        <v>6</v>
      </c>
      <c r="F36" t="n">
        <v>6</v>
      </c>
      <c r="G36" t="n">
        <v>5</v>
      </c>
      <c r="H36" t="n">
        <v>5</v>
      </c>
      <c r="I36" t="n">
        <v>4.5</v>
      </c>
      <c r="J36" t="n">
        <v>5</v>
      </c>
      <c r="K36">
        <f>AVERAGE(B36,D36,E36,I36)</f>
        <v/>
      </c>
      <c r="L36">
        <f>AVERAGE(C36,F36,G36,H36,J36)</f>
        <v/>
      </c>
      <c r="M36">
        <f>AVERAGE(B36:J36)</f>
        <v/>
      </c>
      <c r="N36">
        <f>VLOOKUP(A36,Participants!$A$2:$B$86,2,FALSE)</f>
        <v/>
      </c>
      <c r="O36">
        <f>B36+C36+D36+E36</f>
        <v/>
      </c>
    </row>
    <row r="37">
      <c r="A37" t="inlineStr">
        <is>
          <t>user_0046</t>
        </is>
      </c>
      <c r="B37" t="n">
        <v>5</v>
      </c>
      <c r="C37" t="n">
        <v>5</v>
      </c>
      <c r="D37" t="n">
        <v>5.5</v>
      </c>
      <c r="E37" t="n">
        <v>5</v>
      </c>
      <c r="F37" t="n">
        <v>5</v>
      </c>
      <c r="G37" t="n">
        <v>5</v>
      </c>
      <c r="H37" t="n">
        <v>5</v>
      </c>
      <c r="I37" t="n">
        <v>4.5</v>
      </c>
      <c r="J37" t="n">
        <v>5</v>
      </c>
      <c r="K37">
        <f>AVERAGE(B37,D37,E37,I37)</f>
        <v/>
      </c>
      <c r="L37">
        <f>AVERAGE(C37,F37,G37,H37,J37)</f>
        <v/>
      </c>
      <c r="M37">
        <f>AVERAGE(B37:J37)</f>
        <v/>
      </c>
      <c r="N37">
        <f>VLOOKUP(A37,Participants!$A$2:$B$86,2,FALSE)</f>
        <v/>
      </c>
      <c r="O37">
        <f>B37+C37+D37+E37</f>
        <v/>
      </c>
    </row>
    <row r="38">
      <c r="A38" t="inlineStr">
        <is>
          <t>user_0047</t>
        </is>
      </c>
      <c r="B38" t="n">
        <v>4.5</v>
      </c>
      <c r="C38" t="n">
        <v>7</v>
      </c>
      <c r="D38" t="n">
        <v>5</v>
      </c>
      <c r="E38" t="n">
        <v>3.5</v>
      </c>
      <c r="F38" t="n">
        <v>5</v>
      </c>
      <c r="G38" t="n">
        <v>4.5</v>
      </c>
      <c r="H38" t="n">
        <v>5.5</v>
      </c>
      <c r="I38" t="n">
        <v>3</v>
      </c>
      <c r="J38" t="n">
        <v>2</v>
      </c>
      <c r="K38">
        <f>AVERAGE(B38,D38,E38,I38)</f>
        <v/>
      </c>
      <c r="L38">
        <f>AVERAGE(C38,F38,G38,H38,J38)</f>
        <v/>
      </c>
      <c r="M38">
        <f>AVERAGE(B38:J38)</f>
        <v/>
      </c>
      <c r="N38">
        <f>VLOOKUP(A38,Participants!$A$2:$B$86,2,FALSE)</f>
        <v/>
      </c>
      <c r="O38">
        <f>B38+C38+D38+E38</f>
        <v/>
      </c>
    </row>
    <row r="39">
      <c r="A39" t="inlineStr">
        <is>
          <t>user_0048</t>
        </is>
      </c>
      <c r="B39" t="n">
        <v>4.5</v>
      </c>
      <c r="C39" t="n">
        <v>4.5</v>
      </c>
      <c r="D39" t="n">
        <v>4</v>
      </c>
      <c r="E39" t="n">
        <v>4.5</v>
      </c>
      <c r="F39" t="n">
        <v>4.5</v>
      </c>
      <c r="G39" t="n">
        <v>4.5</v>
      </c>
      <c r="H39" t="n">
        <v>4.5</v>
      </c>
      <c r="I39" t="n">
        <v>4.5</v>
      </c>
      <c r="J39" t="n">
        <v>4.5</v>
      </c>
      <c r="K39">
        <f>AVERAGE(B39,D39,E39,I39)</f>
        <v/>
      </c>
      <c r="L39">
        <f>AVERAGE(C39,F39,G39,H39,J39)</f>
        <v/>
      </c>
      <c r="M39">
        <f>AVERAGE(B39:J39)</f>
        <v/>
      </c>
      <c r="N39">
        <f>VLOOKUP(A39,Participants!$A$2:$B$86,2,FALSE)</f>
        <v/>
      </c>
      <c r="O39">
        <f>B39+C39+D39+E39</f>
        <v/>
      </c>
    </row>
    <row r="40">
      <c r="A40" t="inlineStr">
        <is>
          <t>user_0049</t>
        </is>
      </c>
      <c r="B40" t="n">
        <v>7</v>
      </c>
      <c r="C40" t="n">
        <v>4.5</v>
      </c>
      <c r="D40" t="n">
        <v>5</v>
      </c>
      <c r="E40" t="n">
        <v>4</v>
      </c>
      <c r="F40" t="n">
        <v>5</v>
      </c>
      <c r="G40" t="n">
        <v>5</v>
      </c>
      <c r="H40" t="n">
        <v>4</v>
      </c>
      <c r="I40" t="n">
        <v>2.5</v>
      </c>
      <c r="J40" t="n">
        <v>4.5</v>
      </c>
      <c r="K40">
        <f>AVERAGE(B40,D40,E40,I40)</f>
        <v/>
      </c>
      <c r="L40">
        <f>AVERAGE(C40,F40,G40,H40,J40)</f>
        <v/>
      </c>
      <c r="M40">
        <f>AVERAGE(B40:J40)</f>
        <v/>
      </c>
      <c r="N40">
        <f>VLOOKUP(A40,Participants!$A$2:$B$86,2,FALSE)</f>
        <v/>
      </c>
      <c r="O40">
        <f>B40+C40+D40+E40</f>
        <v/>
      </c>
    </row>
    <row r="41">
      <c r="A41" t="inlineStr">
        <is>
          <t>user_0050</t>
        </is>
      </c>
      <c r="B41" t="n">
        <v>4</v>
      </c>
      <c r="C41" t="n">
        <v>5.5</v>
      </c>
      <c r="D41" t="n">
        <v>3</v>
      </c>
      <c r="E41" t="n">
        <v>3</v>
      </c>
      <c r="F41" t="n">
        <v>3.5</v>
      </c>
      <c r="G41" t="n">
        <v>4</v>
      </c>
      <c r="H41" t="n">
        <v>3.5</v>
      </c>
      <c r="I41" t="n">
        <v>3.5</v>
      </c>
      <c r="J41" t="n">
        <v>4</v>
      </c>
      <c r="K41">
        <f>AVERAGE(B41,D41,E41,I41)</f>
        <v/>
      </c>
      <c r="L41">
        <f>AVERAGE(C41,F41,G41,H41,J41)</f>
        <v/>
      </c>
      <c r="M41">
        <f>AVERAGE(B41:J41)</f>
        <v/>
      </c>
      <c r="N41">
        <f>VLOOKUP(A41,Participants!$A$2:$B$86,2,FALSE)</f>
        <v/>
      </c>
      <c r="O41">
        <f>B41+C41+D41+E41</f>
        <v/>
      </c>
    </row>
    <row r="42">
      <c r="A42" t="inlineStr">
        <is>
          <t>user_0051</t>
        </is>
      </c>
      <c r="B42" t="n">
        <v>6.5</v>
      </c>
      <c r="C42" t="n">
        <v>7</v>
      </c>
      <c r="D42" t="n">
        <v>5.5</v>
      </c>
      <c r="E42" t="n">
        <v>7</v>
      </c>
      <c r="F42" t="n">
        <v>7</v>
      </c>
      <c r="G42" t="n">
        <v>6.5</v>
      </c>
      <c r="H42" t="n">
        <v>7</v>
      </c>
      <c r="I42" t="n">
        <v>7</v>
      </c>
      <c r="J42" t="n">
        <v>7</v>
      </c>
      <c r="K42">
        <f>AVERAGE(B42,D42,E42,I42)</f>
        <v/>
      </c>
      <c r="L42">
        <f>AVERAGE(C42,F42,G42,H42,J42)</f>
        <v/>
      </c>
      <c r="M42">
        <f>AVERAGE(B42:J42)</f>
        <v/>
      </c>
      <c r="N42">
        <f>VLOOKUP(A42,Participants!$A$2:$B$86,2,FALSE)</f>
        <v/>
      </c>
      <c r="O42">
        <f>B42+C42+D42+E42</f>
        <v/>
      </c>
    </row>
    <row r="43">
      <c r="A43" t="inlineStr">
        <is>
          <t>user_0055</t>
        </is>
      </c>
      <c r="B43" t="n">
        <v>5.5</v>
      </c>
      <c r="C43" t="n">
        <v>5.5</v>
      </c>
      <c r="D43" t="n">
        <v>5.5</v>
      </c>
      <c r="E43" t="n">
        <v>7</v>
      </c>
      <c r="F43" t="n">
        <v>7</v>
      </c>
      <c r="G43" t="n">
        <v>7</v>
      </c>
      <c r="H43" t="n">
        <v>7</v>
      </c>
      <c r="I43" t="n">
        <v>7</v>
      </c>
      <c r="J43" t="n">
        <v>5.5</v>
      </c>
      <c r="K43">
        <f>AVERAGE(B43,D43,E43,I43)</f>
        <v/>
      </c>
      <c r="L43">
        <f>AVERAGE(C43,F43,G43,H43,J43)</f>
        <v/>
      </c>
      <c r="M43">
        <f>AVERAGE(B43:J43)</f>
        <v/>
      </c>
      <c r="N43">
        <f>VLOOKUP(A43,Participants!$A$2:$B$86,2,FALSE)</f>
        <v/>
      </c>
      <c r="O43">
        <f>B43+C43+D43+E43</f>
        <v/>
      </c>
    </row>
    <row r="44">
      <c r="A44" t="inlineStr">
        <is>
          <t>user_0061</t>
        </is>
      </c>
      <c r="B44" t="n">
        <v>5.5</v>
      </c>
      <c r="C44" t="n">
        <v>3.5</v>
      </c>
      <c r="D44" t="n">
        <v>4.5</v>
      </c>
      <c r="E44" t="n">
        <v>6.5</v>
      </c>
      <c r="F44" t="n">
        <v>6.5</v>
      </c>
      <c r="G44" t="n">
        <v>4</v>
      </c>
      <c r="H44" t="n">
        <v>4.5</v>
      </c>
      <c r="I44" t="n">
        <v>3.5</v>
      </c>
      <c r="J44" t="n">
        <v>5</v>
      </c>
      <c r="K44">
        <f>AVERAGE(B44,D44,E44,I44)</f>
        <v/>
      </c>
      <c r="L44">
        <f>AVERAGE(C44,F44,G44,H44,J44)</f>
        <v/>
      </c>
      <c r="M44">
        <f>AVERAGE(B44:J44)</f>
        <v/>
      </c>
      <c r="N44">
        <f>VLOOKUP(A44,Participants!$A$2:$B$86,2,FALSE)</f>
        <v/>
      </c>
      <c r="O44">
        <f>B44+C44+D44+E44</f>
        <v/>
      </c>
    </row>
    <row r="45">
      <c r="A45" t="inlineStr">
        <is>
          <t>user_0065</t>
        </is>
      </c>
      <c r="B45" t="n">
        <v>7</v>
      </c>
      <c r="C45" t="n">
        <v>6</v>
      </c>
      <c r="D45" t="n">
        <v>6</v>
      </c>
      <c r="E45" t="n">
        <v>6</v>
      </c>
      <c r="F45" t="n">
        <v>5</v>
      </c>
      <c r="G45" t="n">
        <v>5</v>
      </c>
      <c r="H45" t="n">
        <v>5</v>
      </c>
      <c r="I45" t="n">
        <v>3</v>
      </c>
      <c r="J45" t="n">
        <v>5</v>
      </c>
      <c r="K45">
        <f>AVERAGE(B45,D45,E45,I45)</f>
        <v/>
      </c>
      <c r="L45">
        <f>AVERAGE(C45,F45,G45,H45,J45)</f>
        <v/>
      </c>
      <c r="M45">
        <f>AVERAGE(B45:J45)</f>
        <v/>
      </c>
      <c r="N45">
        <f>VLOOKUP(A45,Participants!$A$2:$B$86,2,FALSE)</f>
        <v/>
      </c>
      <c r="O45">
        <f>B45+C45+D45+E45</f>
        <v/>
      </c>
    </row>
    <row r="46">
      <c r="A46" t="inlineStr">
        <is>
          <t>user_0067</t>
        </is>
      </c>
      <c r="B46" t="n">
        <v>6.5</v>
      </c>
      <c r="C46" t="n">
        <v>6</v>
      </c>
      <c r="D46" t="n">
        <v>5</v>
      </c>
      <c r="E46" t="n">
        <v>6</v>
      </c>
      <c r="F46" t="n">
        <v>4.5</v>
      </c>
      <c r="G46" t="n">
        <v>7</v>
      </c>
      <c r="H46" t="n">
        <v>6.5</v>
      </c>
      <c r="I46" t="n">
        <v>6.5</v>
      </c>
      <c r="J46" t="n">
        <v>5</v>
      </c>
      <c r="K46">
        <f>AVERAGE(B46,D46,E46,I46)</f>
        <v/>
      </c>
      <c r="L46">
        <f>AVERAGE(C46,F46,G46,H46,J46)</f>
        <v/>
      </c>
      <c r="M46">
        <f>AVERAGE(B46:J46)</f>
        <v/>
      </c>
      <c r="N46">
        <f>VLOOKUP(A46,Participants!$A$2:$B$86,2,FALSE)</f>
        <v/>
      </c>
      <c r="O46">
        <f>B46+C46+D46+E46</f>
        <v/>
      </c>
    </row>
    <row r="47">
      <c r="A47" t="inlineStr">
        <is>
          <t>user_0101</t>
        </is>
      </c>
      <c r="B47" t="n">
        <v>7</v>
      </c>
      <c r="C47" t="n">
        <v>6</v>
      </c>
      <c r="D47" t="n">
        <v>6</v>
      </c>
      <c r="E47" t="n">
        <v>7</v>
      </c>
      <c r="F47" t="n">
        <v>7</v>
      </c>
      <c r="G47" t="n">
        <v>7</v>
      </c>
      <c r="H47" t="n">
        <v>7</v>
      </c>
      <c r="I47" t="n">
        <v>6</v>
      </c>
      <c r="J47" t="n">
        <v>7</v>
      </c>
      <c r="K47">
        <f>AVERAGE(B47,D47,E47,I47)</f>
        <v/>
      </c>
      <c r="L47">
        <f>AVERAGE(C47,F47,G47,H47,J47)</f>
        <v/>
      </c>
      <c r="M47">
        <f>AVERAGE(B47:J47)</f>
        <v/>
      </c>
      <c r="N47">
        <f>VLOOKUP(A47,Participants!$A$2:$B$86,2,FALSE)</f>
        <v/>
      </c>
      <c r="O47">
        <f>B47+C47+D47+E47</f>
        <v/>
      </c>
    </row>
    <row r="48">
      <c r="A48" t="inlineStr">
        <is>
          <t>user_0102</t>
        </is>
      </c>
      <c r="B48" t="n">
        <v>6</v>
      </c>
      <c r="C48" t="n">
        <v>5</v>
      </c>
      <c r="D48" t="n">
        <v>5.5</v>
      </c>
      <c r="E48" t="n">
        <v>6.5</v>
      </c>
      <c r="F48" t="n">
        <v>6</v>
      </c>
      <c r="G48" t="n">
        <v>6</v>
      </c>
      <c r="H48" t="n">
        <v>6</v>
      </c>
      <c r="I48" t="n">
        <v>4</v>
      </c>
      <c r="J48" t="n">
        <v>3.5</v>
      </c>
      <c r="K48">
        <f>AVERAGE(B48,D48,E48,I48)</f>
        <v/>
      </c>
      <c r="L48">
        <f>AVERAGE(C48,F48,G48,H48,J48)</f>
        <v/>
      </c>
      <c r="M48">
        <f>AVERAGE(B48:J48)</f>
        <v/>
      </c>
      <c r="N48">
        <f>VLOOKUP(A48,Participants!$A$2:$B$86,2,FALSE)</f>
        <v/>
      </c>
      <c r="O48">
        <f>B48+C48+D48+E48</f>
        <v/>
      </c>
    </row>
    <row r="49">
      <c r="A49" t="inlineStr">
        <is>
          <t>user_0103</t>
        </is>
      </c>
      <c r="B49" t="n">
        <v>6.5</v>
      </c>
      <c r="C49" t="n">
        <v>4.5</v>
      </c>
      <c r="D49" t="n">
        <v>6</v>
      </c>
      <c r="E49" t="n">
        <v>6.5</v>
      </c>
      <c r="F49" t="n">
        <v>7</v>
      </c>
      <c r="G49" t="n">
        <v>6</v>
      </c>
      <c r="H49" t="n">
        <v>6.5</v>
      </c>
      <c r="I49" t="n">
        <v>4</v>
      </c>
      <c r="J49" t="n">
        <v>6.5</v>
      </c>
      <c r="K49">
        <f>AVERAGE(B49,D49,E49,I49)</f>
        <v/>
      </c>
      <c r="L49">
        <f>AVERAGE(C49,F49,G49,H49,J49)</f>
        <v/>
      </c>
      <c r="M49">
        <f>AVERAGE(B49:J49)</f>
        <v/>
      </c>
      <c r="N49">
        <f>VLOOKUP(A49,Participants!$A$2:$B$86,2,FALSE)</f>
        <v/>
      </c>
      <c r="O49">
        <f>B49+C49+D49+E49</f>
        <v/>
      </c>
    </row>
    <row r="50">
      <c r="A50" t="inlineStr">
        <is>
          <t>user_0104</t>
        </is>
      </c>
      <c r="B50" t="n">
        <v>7</v>
      </c>
      <c r="C50" t="n">
        <v>6.5</v>
      </c>
      <c r="D50" t="n">
        <v>6</v>
      </c>
      <c r="E50" t="n">
        <v>6</v>
      </c>
      <c r="F50" t="n">
        <v>7</v>
      </c>
      <c r="G50" t="n">
        <v>7</v>
      </c>
      <c r="H50" t="n">
        <v>7</v>
      </c>
      <c r="I50" t="n">
        <v>6</v>
      </c>
      <c r="J50" t="n">
        <v>6</v>
      </c>
      <c r="K50">
        <f>AVERAGE(B50,D50,E50,I50)</f>
        <v/>
      </c>
      <c r="L50">
        <f>AVERAGE(C50,F50,G50,H50,J50)</f>
        <v/>
      </c>
      <c r="M50">
        <f>AVERAGE(B50:J50)</f>
        <v/>
      </c>
      <c r="N50">
        <f>VLOOKUP(A50,Participants!$A$2:$B$86,2,FALSE)</f>
        <v/>
      </c>
      <c r="O50">
        <f>B50+C50+D50+E50</f>
        <v/>
      </c>
    </row>
    <row r="51">
      <c r="A51" t="inlineStr">
        <is>
          <t>user_0105</t>
        </is>
      </c>
      <c r="B51" t="n">
        <v>5.5</v>
      </c>
      <c r="C51" t="n">
        <v>5.5</v>
      </c>
      <c r="D51" t="n">
        <v>5.5</v>
      </c>
      <c r="E51" t="n">
        <v>5.5</v>
      </c>
      <c r="F51" t="n">
        <v>4.5</v>
      </c>
      <c r="G51" t="n">
        <v>5</v>
      </c>
      <c r="H51" t="n">
        <v>4.5</v>
      </c>
      <c r="I51" t="n">
        <v>4</v>
      </c>
      <c r="J51" t="n">
        <v>4.5</v>
      </c>
      <c r="K51">
        <f>AVERAGE(B51,D51,E51,I51)</f>
        <v/>
      </c>
      <c r="L51">
        <f>AVERAGE(C51,F51,G51,H51,J51)</f>
        <v/>
      </c>
      <c r="M51">
        <f>AVERAGE(B51:J51)</f>
        <v/>
      </c>
      <c r="N51">
        <f>VLOOKUP(A51,Participants!$A$2:$B$86,2,FALSE)</f>
        <v/>
      </c>
      <c r="O51">
        <f>B51+C51+D51+E51</f>
        <v/>
      </c>
    </row>
    <row r="52">
      <c r="A52" t="inlineStr">
        <is>
          <t>user_0106</t>
        </is>
      </c>
      <c r="B52" t="n">
        <v>5</v>
      </c>
      <c r="C52" t="n">
        <v>4.5</v>
      </c>
      <c r="D52" t="n">
        <v>5</v>
      </c>
      <c r="E52" t="n">
        <v>5</v>
      </c>
      <c r="F52" t="n">
        <v>5</v>
      </c>
      <c r="G52" t="n">
        <v>5</v>
      </c>
      <c r="H52" t="n">
        <v>5</v>
      </c>
      <c r="I52" t="n">
        <v>5</v>
      </c>
      <c r="J52" t="n">
        <v>4.5</v>
      </c>
      <c r="K52">
        <f>AVERAGE(B52,D52,E52,I52)</f>
        <v/>
      </c>
      <c r="L52">
        <f>AVERAGE(C52,F52,G52,H52,J52)</f>
        <v/>
      </c>
      <c r="M52">
        <f>AVERAGE(B52:J52)</f>
        <v/>
      </c>
      <c r="N52">
        <f>VLOOKUP(A52,Participants!$A$2:$B$86,2,FALSE)</f>
        <v/>
      </c>
      <c r="O52">
        <f>B52+C52+D52+E52</f>
        <v/>
      </c>
    </row>
    <row r="53">
      <c r="A53" t="inlineStr">
        <is>
          <t>user_0107</t>
        </is>
      </c>
      <c r="B53" t="n">
        <v>5.5</v>
      </c>
      <c r="C53" t="n">
        <v>5</v>
      </c>
      <c r="D53" t="n">
        <v>4.5</v>
      </c>
      <c r="E53" t="n">
        <v>5</v>
      </c>
      <c r="F53" t="n">
        <v>5</v>
      </c>
      <c r="G53" t="n">
        <v>5.5</v>
      </c>
      <c r="H53" t="n">
        <v>5.5</v>
      </c>
      <c r="I53" t="n">
        <v>5</v>
      </c>
      <c r="J53" t="n">
        <v>5.5</v>
      </c>
      <c r="K53">
        <f>AVERAGE(B53,D53,E53,I53)</f>
        <v/>
      </c>
      <c r="L53">
        <f>AVERAGE(C53,F53,G53,H53,J53)</f>
        <v/>
      </c>
      <c r="M53">
        <f>AVERAGE(B53:J53)</f>
        <v/>
      </c>
      <c r="N53">
        <f>VLOOKUP(A53,Participants!$A$2:$B$86,2,FALSE)</f>
        <v/>
      </c>
      <c r="O53">
        <f>B53+C53+D53+E53</f>
        <v/>
      </c>
    </row>
    <row r="54">
      <c r="A54" t="inlineStr">
        <is>
          <t>user_0108</t>
        </is>
      </c>
      <c r="B54" t="n">
        <v>5.5</v>
      </c>
      <c r="C54" t="n">
        <v>4.5</v>
      </c>
      <c r="D54" t="n">
        <v>4.5</v>
      </c>
      <c r="E54" t="n">
        <v>4.5</v>
      </c>
      <c r="F54" t="n">
        <v>4.5</v>
      </c>
      <c r="G54" t="n">
        <v>4.5</v>
      </c>
      <c r="H54" t="n">
        <v>4.5</v>
      </c>
      <c r="I54" t="n">
        <v>2.5</v>
      </c>
      <c r="J54" t="n">
        <v>4.5</v>
      </c>
      <c r="K54">
        <f>AVERAGE(B54,D54,E54,I54)</f>
        <v/>
      </c>
      <c r="L54">
        <f>AVERAGE(C54,F54,G54,H54,J54)</f>
        <v/>
      </c>
      <c r="M54">
        <f>AVERAGE(B54:J54)</f>
        <v/>
      </c>
      <c r="N54">
        <f>VLOOKUP(A54,Participants!$A$2:$B$86,2,FALSE)</f>
        <v/>
      </c>
      <c r="O54">
        <f>B54+C54+D54+E54</f>
        <v/>
      </c>
    </row>
    <row r="55">
      <c r="A55" t="inlineStr">
        <is>
          <t>user_0109</t>
        </is>
      </c>
      <c r="B55" t="n">
        <v>5.5</v>
      </c>
      <c r="C55" t="n">
        <v>5</v>
      </c>
      <c r="D55" t="n">
        <v>5.5</v>
      </c>
      <c r="E55" t="n">
        <v>5.5</v>
      </c>
      <c r="F55" t="n">
        <v>5.5</v>
      </c>
      <c r="G55" t="n">
        <v>5.5</v>
      </c>
      <c r="H55" t="n">
        <v>6.5</v>
      </c>
      <c r="I55" t="n">
        <v>6</v>
      </c>
      <c r="J55" t="n">
        <v>6.5</v>
      </c>
      <c r="K55">
        <f>AVERAGE(B55,D55,E55,I55)</f>
        <v/>
      </c>
      <c r="L55">
        <f>AVERAGE(C55,F55,G55,H55,J55)</f>
        <v/>
      </c>
      <c r="M55">
        <f>AVERAGE(B55:J55)</f>
        <v/>
      </c>
      <c r="N55">
        <f>VLOOKUP(A55,Participants!$A$2:$B$86,2,FALSE)</f>
        <v/>
      </c>
      <c r="O55">
        <f>B55+C55+D55+E55</f>
        <v/>
      </c>
    </row>
    <row r="56">
      <c r="A56" t="inlineStr">
        <is>
          <t>user_0110</t>
        </is>
      </c>
      <c r="B56" t="n">
        <v>5.5</v>
      </c>
      <c r="C56" t="n">
        <v>4</v>
      </c>
      <c r="D56" t="n">
        <v>4</v>
      </c>
      <c r="E56" t="n">
        <v>5</v>
      </c>
      <c r="F56" t="n">
        <v>6</v>
      </c>
      <c r="G56" t="n">
        <v>3.5</v>
      </c>
      <c r="H56" t="n">
        <v>4</v>
      </c>
      <c r="I56" t="n">
        <v>3</v>
      </c>
      <c r="J56" t="n">
        <v>3.5</v>
      </c>
      <c r="K56">
        <f>AVERAGE(B56,D56,E56,I56)</f>
        <v/>
      </c>
      <c r="L56">
        <f>AVERAGE(C56,F56,G56,H56,J56)</f>
        <v/>
      </c>
      <c r="M56">
        <f>AVERAGE(B56:J56)</f>
        <v/>
      </c>
      <c r="N56">
        <f>VLOOKUP(A56,Participants!$A$2:$B$86,2,FALSE)</f>
        <v/>
      </c>
      <c r="O56">
        <f>B56+C56+D56+E56</f>
        <v/>
      </c>
    </row>
    <row r="57">
      <c r="A57" t="inlineStr">
        <is>
          <t>user_0113</t>
        </is>
      </c>
      <c r="B57" t="n">
        <v>4.5</v>
      </c>
      <c r="C57" t="n">
        <v>3.5</v>
      </c>
      <c r="D57" t="n">
        <v>3.5</v>
      </c>
      <c r="E57" t="n">
        <v>5</v>
      </c>
      <c r="F57" t="n">
        <v>4</v>
      </c>
      <c r="G57" t="n">
        <v>3</v>
      </c>
      <c r="H57" t="n">
        <v>4.5</v>
      </c>
      <c r="I57" t="n">
        <v>4</v>
      </c>
      <c r="J57" t="n">
        <v>3.5</v>
      </c>
      <c r="K57">
        <f>AVERAGE(B57,D57,E57,I57)</f>
        <v/>
      </c>
      <c r="L57">
        <f>AVERAGE(C57,F57,G57,H57,J57)</f>
        <v/>
      </c>
      <c r="M57">
        <f>AVERAGE(B57:J57)</f>
        <v/>
      </c>
      <c r="N57">
        <f>VLOOKUP(A57,Participants!$A$2:$B$86,2,FALSE)</f>
        <v/>
      </c>
      <c r="O57">
        <f>B57+C57+D57+E57</f>
        <v/>
      </c>
    </row>
    <row r="58">
      <c r="A58" t="inlineStr">
        <is>
          <t>user_0114</t>
        </is>
      </c>
      <c r="B58" t="n">
        <v>6</v>
      </c>
      <c r="C58" t="n">
        <v>7</v>
      </c>
      <c r="D58" t="n">
        <v>5</v>
      </c>
      <c r="E58" t="n">
        <v>3</v>
      </c>
      <c r="F58" t="n">
        <v>3.5</v>
      </c>
      <c r="G58" t="n">
        <v>3.5</v>
      </c>
      <c r="H58" t="n">
        <v>4</v>
      </c>
      <c r="I58" t="n">
        <v>5</v>
      </c>
      <c r="J58" t="n">
        <v>2</v>
      </c>
      <c r="K58">
        <f>AVERAGE(B58,D58,E58,I58)</f>
        <v/>
      </c>
      <c r="L58">
        <f>AVERAGE(C58,F58,G58,H58,J58)</f>
        <v/>
      </c>
      <c r="M58">
        <f>AVERAGE(B58:J58)</f>
        <v/>
      </c>
      <c r="N58">
        <f>VLOOKUP(A58,Participants!$A$2:$B$86,2,FALSE)</f>
        <v/>
      </c>
      <c r="O58">
        <f>B58+C58+D58+E58</f>
        <v/>
      </c>
    </row>
    <row r="59">
      <c r="A59" t="inlineStr">
        <is>
          <t>user_0115</t>
        </is>
      </c>
      <c r="B59" t="n">
        <v>6</v>
      </c>
      <c r="C59" t="n">
        <v>5</v>
      </c>
      <c r="D59" t="n">
        <v>5</v>
      </c>
      <c r="E59" t="n">
        <v>5</v>
      </c>
      <c r="F59" t="n">
        <v>6.5</v>
      </c>
      <c r="G59" t="n">
        <v>5</v>
      </c>
      <c r="H59" t="n">
        <v>5</v>
      </c>
      <c r="I59" t="n">
        <v>6</v>
      </c>
      <c r="J59" t="n">
        <v>4.5</v>
      </c>
      <c r="K59">
        <f>AVERAGE(B59,D59,E59,I59)</f>
        <v/>
      </c>
      <c r="L59">
        <f>AVERAGE(C59,F59,G59,H59,J59)</f>
        <v/>
      </c>
      <c r="M59">
        <f>AVERAGE(B59:J59)</f>
        <v/>
      </c>
      <c r="N59">
        <f>VLOOKUP(A59,Participants!$A$2:$B$86,2,FALSE)</f>
        <v/>
      </c>
      <c r="O59">
        <f>B59+C59+D59+E59</f>
        <v/>
      </c>
    </row>
    <row r="60">
      <c r="A60" t="inlineStr">
        <is>
          <t>user_0116</t>
        </is>
      </c>
      <c r="B60" t="n">
        <v>7</v>
      </c>
      <c r="C60" t="n">
        <v>6</v>
      </c>
      <c r="D60" t="n">
        <v>5</v>
      </c>
      <c r="E60" t="n">
        <v>2.5</v>
      </c>
      <c r="F60" t="n">
        <v>6.5</v>
      </c>
      <c r="G60" t="n">
        <v>5.5</v>
      </c>
      <c r="H60" t="n">
        <v>4.5</v>
      </c>
      <c r="I60" t="n">
        <v>3.5</v>
      </c>
      <c r="J60" t="n">
        <v>1.5</v>
      </c>
      <c r="K60">
        <f>AVERAGE(B60,D60,E60,I60)</f>
        <v/>
      </c>
      <c r="L60">
        <f>AVERAGE(C60,F60,G60,H60,J60)</f>
        <v/>
      </c>
      <c r="M60">
        <f>AVERAGE(B60:J60)</f>
        <v/>
      </c>
      <c r="N60">
        <f>VLOOKUP(A60,Participants!$A$2:$B$86,2,FALSE)</f>
        <v/>
      </c>
      <c r="O60">
        <f>B60+C60+D60+E60</f>
        <v/>
      </c>
    </row>
    <row r="61">
      <c r="A61" t="inlineStr">
        <is>
          <t>user_0118</t>
        </is>
      </c>
      <c r="B61" t="n">
        <v>4</v>
      </c>
      <c r="C61" t="n">
        <v>4</v>
      </c>
      <c r="D61" t="n">
        <v>3.5</v>
      </c>
      <c r="E61" t="n">
        <v>5</v>
      </c>
      <c r="F61" t="n">
        <v>6</v>
      </c>
      <c r="G61" t="n">
        <v>5.5</v>
      </c>
      <c r="H61" t="n">
        <v>6</v>
      </c>
      <c r="I61" t="n">
        <v>6.5</v>
      </c>
      <c r="J61" t="n">
        <v>4</v>
      </c>
      <c r="K61">
        <f>AVERAGE(B61,D61,E61,I61)</f>
        <v/>
      </c>
      <c r="L61">
        <f>AVERAGE(C61,F61,G61,H61,J61)</f>
        <v/>
      </c>
      <c r="M61">
        <f>AVERAGE(B61:J61)</f>
        <v/>
      </c>
      <c r="N61">
        <f>VLOOKUP(A61,Participants!$A$2:$B$86,2,FALSE)</f>
        <v/>
      </c>
      <c r="O61">
        <f>B61+C61+D61+E61</f>
        <v/>
      </c>
    </row>
    <row r="62">
      <c r="A62" t="inlineStr">
        <is>
          <t>user_0119</t>
        </is>
      </c>
      <c r="B62" t="n">
        <v>3.5</v>
      </c>
      <c r="C62" t="n">
        <v>3.5</v>
      </c>
      <c r="D62" t="n">
        <v>3.5</v>
      </c>
      <c r="E62" t="n">
        <v>4</v>
      </c>
      <c r="F62" t="n">
        <v>5</v>
      </c>
      <c r="G62" t="n">
        <v>4</v>
      </c>
      <c r="H62" t="n">
        <v>4</v>
      </c>
      <c r="I62" t="n">
        <v>4.5</v>
      </c>
      <c r="J62" t="n">
        <v>4</v>
      </c>
      <c r="K62">
        <f>AVERAGE(B62,D62,E62,I62)</f>
        <v/>
      </c>
      <c r="L62">
        <f>AVERAGE(C62,F62,G62,H62,J62)</f>
        <v/>
      </c>
      <c r="M62">
        <f>AVERAGE(B62:J62)</f>
        <v/>
      </c>
      <c r="N62">
        <f>VLOOKUP(A62,Participants!$A$2:$B$86,2,FALSE)</f>
        <v/>
      </c>
      <c r="O62">
        <f>B62+C62+D62+E62</f>
        <v/>
      </c>
    </row>
    <row r="63">
      <c r="A63" t="inlineStr">
        <is>
          <t>user_0120</t>
        </is>
      </c>
      <c r="B63" t="n">
        <v>5</v>
      </c>
      <c r="C63" t="n">
        <v>4</v>
      </c>
      <c r="D63" t="n">
        <v>5.5</v>
      </c>
      <c r="E63" t="n">
        <v>5</v>
      </c>
      <c r="F63" t="n">
        <v>6</v>
      </c>
      <c r="G63" t="n">
        <v>5.5</v>
      </c>
      <c r="H63" t="n">
        <v>5.5</v>
      </c>
      <c r="I63" t="n">
        <v>4.5</v>
      </c>
      <c r="J63" t="n">
        <v>5</v>
      </c>
      <c r="K63">
        <f>AVERAGE(B63,D63,E63,I63)</f>
        <v/>
      </c>
      <c r="L63">
        <f>AVERAGE(C63,F63,G63,H63,J63)</f>
        <v/>
      </c>
      <c r="M63">
        <f>AVERAGE(B63:J63)</f>
        <v/>
      </c>
      <c r="N63">
        <f>VLOOKUP(A63,Participants!$A$2:$B$86,2,FALSE)</f>
        <v/>
      </c>
      <c r="O63">
        <f>B63+C63+D63+E63</f>
        <v/>
      </c>
    </row>
    <row r="64">
      <c r="A64" t="inlineStr">
        <is>
          <t>user_0121</t>
        </is>
      </c>
      <c r="B64" t="n">
        <v>5</v>
      </c>
      <c r="C64" t="n">
        <v>5</v>
      </c>
      <c r="D64" t="n">
        <v>6</v>
      </c>
      <c r="E64" t="n">
        <v>6</v>
      </c>
      <c r="F64" t="n">
        <v>7</v>
      </c>
      <c r="G64" t="n">
        <v>7</v>
      </c>
      <c r="H64" t="n">
        <v>7</v>
      </c>
      <c r="I64" t="n">
        <v>7</v>
      </c>
      <c r="J64" t="n">
        <v>5</v>
      </c>
      <c r="K64">
        <f>AVERAGE(B64,D64,E64,I64)</f>
        <v/>
      </c>
      <c r="L64">
        <f>AVERAGE(C64,F64,G64,H64,J64)</f>
        <v/>
      </c>
      <c r="M64">
        <f>AVERAGE(B64:J64)</f>
        <v/>
      </c>
      <c r="N64">
        <f>VLOOKUP(A64,Participants!$A$2:$B$86,2,FALSE)</f>
        <v/>
      </c>
      <c r="O64">
        <f>B64+C64+D64+E64</f>
        <v/>
      </c>
    </row>
    <row r="65">
      <c r="A65" t="inlineStr">
        <is>
          <t>user_0123</t>
        </is>
      </c>
      <c r="B65" t="n">
        <v>6.5</v>
      </c>
      <c r="C65" t="n">
        <v>5.5</v>
      </c>
      <c r="D65" t="n">
        <v>6</v>
      </c>
      <c r="E65" t="n">
        <v>7</v>
      </c>
      <c r="F65" t="n">
        <v>7</v>
      </c>
      <c r="G65" t="n">
        <v>7</v>
      </c>
      <c r="H65" t="n">
        <v>7</v>
      </c>
      <c r="I65" t="n">
        <v>6</v>
      </c>
      <c r="J65" t="n">
        <v>6</v>
      </c>
      <c r="K65">
        <f>AVERAGE(B65,D65,E65,I65)</f>
        <v/>
      </c>
      <c r="L65">
        <f>AVERAGE(C65,F65,G65,H65,J65)</f>
        <v/>
      </c>
      <c r="M65">
        <f>AVERAGE(B65:J65)</f>
        <v/>
      </c>
      <c r="N65">
        <f>VLOOKUP(A65,Participants!$A$2:$B$86,2,FALSE)</f>
        <v/>
      </c>
      <c r="O65">
        <f>B65+C65+D65+E65</f>
        <v/>
      </c>
    </row>
    <row r="66">
      <c r="A66" t="inlineStr">
        <is>
          <t>user_0124</t>
        </is>
      </c>
      <c r="B66" t="n">
        <v>4.5</v>
      </c>
      <c r="C66" t="n">
        <v>4.5</v>
      </c>
      <c r="D66" t="n">
        <v>4.5</v>
      </c>
      <c r="E66" t="n">
        <v>3.5</v>
      </c>
      <c r="F66" t="n">
        <v>5</v>
      </c>
      <c r="G66" t="n">
        <v>5</v>
      </c>
      <c r="H66" t="n">
        <v>5</v>
      </c>
      <c r="I66" t="n">
        <v>4</v>
      </c>
      <c r="J66" t="n">
        <v>5</v>
      </c>
      <c r="K66">
        <f>AVERAGE(B66,D66,E66,I66)</f>
        <v/>
      </c>
      <c r="L66">
        <f>AVERAGE(C66,F66,G66,H66,J66)</f>
        <v/>
      </c>
      <c r="M66">
        <f>AVERAGE(B66:J66)</f>
        <v/>
      </c>
      <c r="N66">
        <f>VLOOKUP(A66,Participants!$A$2:$B$86,2,FALSE)</f>
        <v/>
      </c>
      <c r="O66">
        <f>B66+C66+D66+E66</f>
        <v/>
      </c>
    </row>
    <row r="67">
      <c r="A67" t="inlineStr">
        <is>
          <t>user_0125</t>
        </is>
      </c>
      <c r="B67" t="n">
        <v>6</v>
      </c>
      <c r="C67" t="n">
        <v>5.5</v>
      </c>
      <c r="D67" t="n">
        <v>5.5</v>
      </c>
      <c r="E67" t="n">
        <v>5</v>
      </c>
      <c r="F67" t="n">
        <v>6</v>
      </c>
      <c r="G67" t="n">
        <v>6.5</v>
      </c>
      <c r="H67" t="n">
        <v>6</v>
      </c>
      <c r="I67" t="n">
        <v>4</v>
      </c>
      <c r="J67" t="n">
        <v>3.5</v>
      </c>
      <c r="K67">
        <f>AVERAGE(B67,D67,E67,I67)</f>
        <v/>
      </c>
      <c r="L67">
        <f>AVERAGE(C67,F67,G67,H67,J67)</f>
        <v/>
      </c>
      <c r="M67">
        <f>AVERAGE(B67:J67)</f>
        <v/>
      </c>
      <c r="N67">
        <f>VLOOKUP(A67,Participants!$A$2:$B$86,2,FALSE)</f>
        <v/>
      </c>
      <c r="O67">
        <f>B67+C67+D67+E67</f>
        <v/>
      </c>
    </row>
    <row r="68">
      <c r="A68" t="inlineStr">
        <is>
          <t>user_0126</t>
        </is>
      </c>
      <c r="B68" t="n">
        <v>7</v>
      </c>
      <c r="C68" t="n">
        <v>6.5</v>
      </c>
      <c r="D68" t="n">
        <v>6.5</v>
      </c>
      <c r="E68" t="n">
        <v>7</v>
      </c>
      <c r="F68" t="n">
        <v>6</v>
      </c>
      <c r="G68" t="n">
        <v>6</v>
      </c>
      <c r="H68" t="n">
        <v>4.5</v>
      </c>
      <c r="I68" t="n">
        <v>2</v>
      </c>
      <c r="J68" t="n">
        <v>5.5</v>
      </c>
      <c r="K68">
        <f>AVERAGE(B68,D68,E68,I68)</f>
        <v/>
      </c>
      <c r="L68">
        <f>AVERAGE(C68,F68,G68,H68,J68)</f>
        <v/>
      </c>
      <c r="M68">
        <f>AVERAGE(B68:J68)</f>
        <v/>
      </c>
      <c r="N68">
        <f>VLOOKUP(A68,Participants!$A$2:$B$86,2,FALSE)</f>
        <v/>
      </c>
      <c r="O68">
        <f>B68+C68+D68+E68</f>
        <v/>
      </c>
    </row>
    <row r="69">
      <c r="A69" t="inlineStr">
        <is>
          <t>user_0127</t>
        </is>
      </c>
      <c r="B69" t="n">
        <v>7</v>
      </c>
      <c r="C69" t="n">
        <v>6.5</v>
      </c>
      <c r="D69" t="n">
        <v>7</v>
      </c>
      <c r="E69" t="n">
        <v>6.5</v>
      </c>
      <c r="F69" t="n">
        <v>7</v>
      </c>
      <c r="G69" t="n">
        <v>6.5</v>
      </c>
      <c r="H69" t="n">
        <v>6.5</v>
      </c>
      <c r="I69" t="n">
        <v>7</v>
      </c>
      <c r="J69" t="n">
        <v>7</v>
      </c>
      <c r="K69">
        <f>AVERAGE(B69,D69,E69,I69)</f>
        <v/>
      </c>
      <c r="L69">
        <f>AVERAGE(C69,F69,G69,H69,J69)</f>
        <v/>
      </c>
      <c r="M69">
        <f>AVERAGE(B69:J69)</f>
        <v/>
      </c>
      <c r="N69">
        <f>VLOOKUP(A69,Participants!$A$2:$B$86,2,FALSE)</f>
        <v/>
      </c>
      <c r="O69">
        <f>B69+C69+D69+E69</f>
        <v/>
      </c>
    </row>
    <row r="70">
      <c r="A70" t="inlineStr">
        <is>
          <t>user_0128</t>
        </is>
      </c>
      <c r="B70" t="n">
        <v>5.5</v>
      </c>
      <c r="C70" t="n">
        <v>4.5</v>
      </c>
      <c r="D70" t="n">
        <v>5.5</v>
      </c>
      <c r="E70" t="n">
        <v>4.5</v>
      </c>
      <c r="F70" t="n">
        <v>7</v>
      </c>
      <c r="G70" t="n">
        <v>6</v>
      </c>
      <c r="H70" t="n">
        <v>6</v>
      </c>
      <c r="I70" t="n">
        <v>5</v>
      </c>
      <c r="J70" t="n">
        <v>6</v>
      </c>
      <c r="K70">
        <f>AVERAGE(B70,D70,E70,I70)</f>
        <v/>
      </c>
      <c r="L70">
        <f>AVERAGE(C70,F70,G70,H70,J70)</f>
        <v/>
      </c>
      <c r="M70">
        <f>AVERAGE(B70:J70)</f>
        <v/>
      </c>
      <c r="N70">
        <f>VLOOKUP(A70,Participants!$A$2:$B$86,2,FALSE)</f>
        <v/>
      </c>
      <c r="O70">
        <f>B70+C70+D70+E70</f>
        <v/>
      </c>
    </row>
    <row r="71">
      <c r="A71" t="inlineStr">
        <is>
          <t>user_0129</t>
        </is>
      </c>
      <c r="B71" t="n">
        <v>6.5</v>
      </c>
      <c r="C71" t="n">
        <v>6</v>
      </c>
      <c r="D71" t="n">
        <v>6</v>
      </c>
      <c r="E71" t="n">
        <v>6</v>
      </c>
      <c r="F71" t="n">
        <v>6</v>
      </c>
      <c r="G71" t="n">
        <v>6</v>
      </c>
      <c r="H71" t="n">
        <v>6</v>
      </c>
      <c r="I71" t="n">
        <v>6</v>
      </c>
      <c r="J71" t="n">
        <v>6</v>
      </c>
      <c r="K71">
        <f>AVERAGE(B71,D71,E71,I71)</f>
        <v/>
      </c>
      <c r="L71">
        <f>AVERAGE(C71,F71,G71,H71,J71)</f>
        <v/>
      </c>
      <c r="M71">
        <f>AVERAGE(B71:J71)</f>
        <v/>
      </c>
      <c r="N71">
        <f>VLOOKUP(A71,Participants!$A$2:$B$86,2,FALSE)</f>
        <v/>
      </c>
      <c r="O71">
        <f>B71+C71+D71+E71</f>
        <v/>
      </c>
    </row>
    <row r="72">
      <c r="A72" t="inlineStr">
        <is>
          <t>user_0130</t>
        </is>
      </c>
      <c r="B72" t="n">
        <v>7</v>
      </c>
      <c r="C72" t="n">
        <v>5</v>
      </c>
      <c r="D72" t="n">
        <v>7</v>
      </c>
      <c r="E72" t="n">
        <v>6</v>
      </c>
      <c r="F72" t="n">
        <v>6</v>
      </c>
      <c r="G72" t="n">
        <v>7</v>
      </c>
      <c r="H72" t="n">
        <v>7</v>
      </c>
      <c r="I72" t="n">
        <v>4</v>
      </c>
      <c r="J72" t="n">
        <v>5.5</v>
      </c>
      <c r="K72">
        <f>AVERAGE(B72,D72,E72,I72)</f>
        <v/>
      </c>
      <c r="L72">
        <f>AVERAGE(C72,F72,G72,H72,J72)</f>
        <v/>
      </c>
      <c r="M72">
        <f>AVERAGE(B72:J72)</f>
        <v/>
      </c>
      <c r="N72">
        <f>VLOOKUP(A72,Participants!$A$2:$B$86,2,FALSE)</f>
        <v/>
      </c>
      <c r="O72">
        <f>B72+C72+D72+E72</f>
        <v/>
      </c>
    </row>
    <row r="73">
      <c r="A73" t="inlineStr">
        <is>
          <t>user_0131</t>
        </is>
      </c>
      <c r="B73" t="n">
        <v>4</v>
      </c>
      <c r="C73" t="n">
        <v>4</v>
      </c>
      <c r="D73" t="n">
        <v>4</v>
      </c>
      <c r="E73" t="n">
        <v>4</v>
      </c>
      <c r="F73" t="n">
        <v>4.5</v>
      </c>
      <c r="G73" t="n">
        <v>3.5</v>
      </c>
      <c r="H73" t="n">
        <v>3</v>
      </c>
      <c r="I73" t="n">
        <v>3.5</v>
      </c>
      <c r="J73" t="n">
        <v>2.5</v>
      </c>
      <c r="K73">
        <f>AVERAGE(B73,D73,E73,I73)</f>
        <v/>
      </c>
      <c r="L73">
        <f>AVERAGE(C73,F73,G73,H73,J73)</f>
        <v/>
      </c>
      <c r="M73">
        <f>AVERAGE(B73:J73)</f>
        <v/>
      </c>
      <c r="N73">
        <f>VLOOKUP(A73,Participants!$A$2:$B$86,2,FALSE)</f>
        <v/>
      </c>
      <c r="O73">
        <f>B73+C73+D73+E73</f>
        <v/>
      </c>
    </row>
    <row r="74">
      <c r="A74" t="inlineStr">
        <is>
          <t>user_0132</t>
        </is>
      </c>
      <c r="B74" t="n">
        <v>5.5</v>
      </c>
      <c r="C74" t="n">
        <v>6</v>
      </c>
      <c r="D74" t="n">
        <v>5</v>
      </c>
      <c r="E74" t="n">
        <v>4</v>
      </c>
      <c r="F74" t="n">
        <v>6</v>
      </c>
      <c r="G74" t="n">
        <v>5.5</v>
      </c>
      <c r="H74" t="n">
        <v>6</v>
      </c>
      <c r="I74" t="n">
        <v>5.5</v>
      </c>
      <c r="J74" t="n">
        <v>5</v>
      </c>
      <c r="K74">
        <f>AVERAGE(B74,D74,E74,I74)</f>
        <v/>
      </c>
      <c r="L74">
        <f>AVERAGE(C74,F74,G74,H74,J74)</f>
        <v/>
      </c>
      <c r="M74">
        <f>AVERAGE(B74:J74)</f>
        <v/>
      </c>
      <c r="N74">
        <f>VLOOKUP(A74,Participants!$A$2:$B$86,2,FALSE)</f>
        <v/>
      </c>
      <c r="O74">
        <f>B74+C74+D74+E74</f>
        <v/>
      </c>
    </row>
    <row r="75">
      <c r="A75" t="inlineStr">
        <is>
          <t>user_0133</t>
        </is>
      </c>
      <c r="B75" t="n">
        <v>6</v>
      </c>
      <c r="C75" t="n">
        <v>6</v>
      </c>
      <c r="D75" t="n">
        <v>6</v>
      </c>
      <c r="E75" t="n">
        <v>6.5</v>
      </c>
      <c r="F75" t="n">
        <v>7</v>
      </c>
      <c r="G75" t="n">
        <v>5.5</v>
      </c>
      <c r="H75" t="n">
        <v>6</v>
      </c>
      <c r="I75" t="n">
        <v>6</v>
      </c>
      <c r="J75" t="n">
        <v>6.5</v>
      </c>
      <c r="K75">
        <f>AVERAGE(B75,D75,E75,I75)</f>
        <v/>
      </c>
      <c r="L75">
        <f>AVERAGE(C75,F75,G75,H75,J75)</f>
        <v/>
      </c>
      <c r="M75">
        <f>AVERAGE(B75:J75)</f>
        <v/>
      </c>
      <c r="N75">
        <f>VLOOKUP(A75,Participants!$A$2:$B$86,2,FALSE)</f>
        <v/>
      </c>
      <c r="O75">
        <f>B75+C75+D75+E75</f>
        <v/>
      </c>
    </row>
    <row r="76">
      <c r="A76" t="inlineStr">
        <is>
          <t>user_0134</t>
        </is>
      </c>
      <c r="B76" t="n">
        <v>7</v>
      </c>
      <c r="C76" t="n">
        <v>6</v>
      </c>
      <c r="D76" t="n">
        <v>7</v>
      </c>
      <c r="E76" t="n">
        <v>6.5</v>
      </c>
      <c r="F76" t="n">
        <v>6.5</v>
      </c>
      <c r="G76" t="n">
        <v>4.5</v>
      </c>
      <c r="H76" t="n">
        <v>5.5</v>
      </c>
      <c r="I76" t="n">
        <v>5</v>
      </c>
      <c r="J76" t="n">
        <v>7</v>
      </c>
      <c r="K76">
        <f>AVERAGE(B76,D76,E76,I76)</f>
        <v/>
      </c>
      <c r="L76">
        <f>AVERAGE(C76,F76,G76,H76,J76)</f>
        <v/>
      </c>
      <c r="M76">
        <f>AVERAGE(B76:J76)</f>
        <v/>
      </c>
      <c r="N76">
        <f>VLOOKUP(A76,Participants!$A$2:$B$86,2,FALSE)</f>
        <v/>
      </c>
      <c r="O76">
        <f>B76+C76+D76+E76</f>
        <v/>
      </c>
    </row>
    <row r="77">
      <c r="A77" t="inlineStr">
        <is>
          <t>user_0150</t>
        </is>
      </c>
      <c r="B77" t="n">
        <v>6.5</v>
      </c>
      <c r="C77" t="n">
        <v>5.5</v>
      </c>
      <c r="D77" t="n">
        <v>6.5</v>
      </c>
      <c r="E77" t="n">
        <v>6.5</v>
      </c>
      <c r="F77" t="n">
        <v>7</v>
      </c>
      <c r="G77" t="n">
        <v>6.5</v>
      </c>
      <c r="H77" t="n">
        <v>6.5</v>
      </c>
      <c r="I77" t="n">
        <v>4.5</v>
      </c>
      <c r="J77" t="n">
        <v>4.5</v>
      </c>
      <c r="K77">
        <f>AVERAGE(B77,D77,E77,I77)</f>
        <v/>
      </c>
      <c r="L77">
        <f>AVERAGE(C77,F77,G77,H77,J77)</f>
        <v/>
      </c>
      <c r="M77">
        <f>AVERAGE(B77:J77)</f>
        <v/>
      </c>
      <c r="N77">
        <f>VLOOKUP(A77,Participants!$A$2:$B$86,2,FALSE)</f>
        <v/>
      </c>
      <c r="O77">
        <f>B77+C77+D77+E77</f>
        <v/>
      </c>
    </row>
    <row r="78">
      <c r="A78" t="inlineStr">
        <is>
          <t>user_0152</t>
        </is>
      </c>
      <c r="B78" t="n">
        <v>7</v>
      </c>
      <c r="C78" t="n">
        <v>6</v>
      </c>
      <c r="D78" t="n">
        <v>6</v>
      </c>
      <c r="E78" t="n">
        <v>6</v>
      </c>
      <c r="F78" t="n">
        <v>6</v>
      </c>
      <c r="G78" t="n">
        <v>6.5</v>
      </c>
      <c r="H78" t="n">
        <v>5.5</v>
      </c>
      <c r="I78" t="n">
        <v>4.5</v>
      </c>
      <c r="J78" t="n">
        <v>6</v>
      </c>
      <c r="K78">
        <f>AVERAGE(B78,D78,E78,I78)</f>
        <v/>
      </c>
      <c r="L78">
        <f>AVERAGE(C78,F78,G78,H78,J78)</f>
        <v/>
      </c>
      <c r="M78">
        <f>AVERAGE(B78:J78)</f>
        <v/>
      </c>
      <c r="N78">
        <f>VLOOKUP(A78,Participants!$A$2:$B$86,2,FALSE)</f>
        <v/>
      </c>
      <c r="O78">
        <f>B78+C78+D78+E78</f>
        <v/>
      </c>
    </row>
    <row r="79">
      <c r="A79" t="inlineStr">
        <is>
          <t>user_0153</t>
        </is>
      </c>
      <c r="B79" t="n">
        <v>4.5</v>
      </c>
      <c r="C79" t="n">
        <v>5</v>
      </c>
      <c r="D79" t="n">
        <v>4.5</v>
      </c>
      <c r="E79" t="n">
        <v>4.5</v>
      </c>
      <c r="F79" t="n">
        <v>3.5</v>
      </c>
      <c r="G79" t="n">
        <v>4.5</v>
      </c>
      <c r="H79" t="n">
        <v>4.5</v>
      </c>
      <c r="I79" t="n">
        <v>6</v>
      </c>
      <c r="J79" t="n">
        <v>2.5</v>
      </c>
      <c r="K79">
        <f>AVERAGE(B79,D79,E79,I79)</f>
        <v/>
      </c>
      <c r="L79">
        <f>AVERAGE(C79,F79,G79,H79,J79)</f>
        <v/>
      </c>
      <c r="M79">
        <f>AVERAGE(B79:J79)</f>
        <v/>
      </c>
      <c r="N79">
        <f>VLOOKUP(A79,Participants!$A$2:$B$86,2,FALSE)</f>
        <v/>
      </c>
      <c r="O79">
        <f>B79+C79+D79+E79</f>
        <v/>
      </c>
    </row>
    <row r="80">
      <c r="A80" t="inlineStr">
        <is>
          <t>user_0158</t>
        </is>
      </c>
      <c r="B80" t="n">
        <v>3.5</v>
      </c>
      <c r="C80" t="n">
        <v>4</v>
      </c>
      <c r="D80" t="n">
        <v>4</v>
      </c>
      <c r="E80" t="n">
        <v>4</v>
      </c>
      <c r="F80" t="n">
        <v>4.5</v>
      </c>
      <c r="G80" t="n">
        <v>3.5</v>
      </c>
      <c r="H80" t="n">
        <v>3</v>
      </c>
      <c r="I80" t="n">
        <v>4.5</v>
      </c>
      <c r="J80" t="n">
        <v>4</v>
      </c>
      <c r="K80">
        <f>AVERAGE(B80,D80,E80,I80)</f>
        <v/>
      </c>
      <c r="L80">
        <f>AVERAGE(C80,F80,G80,H80,J80)</f>
        <v/>
      </c>
      <c r="M80">
        <f>AVERAGE(B80:J80)</f>
        <v/>
      </c>
      <c r="N80">
        <f>VLOOKUP(A80,Participants!$A$2:$B$86,2,FALSE)</f>
        <v/>
      </c>
      <c r="O80">
        <f>B80+C80+D80+E80</f>
        <v/>
      </c>
    </row>
    <row r="81">
      <c r="A81" t="inlineStr">
        <is>
          <t>user_0170</t>
        </is>
      </c>
      <c r="B81" t="n">
        <v>6</v>
      </c>
      <c r="C81" t="n">
        <v>6</v>
      </c>
      <c r="D81" t="n">
        <v>6</v>
      </c>
      <c r="E81" t="n">
        <v>6</v>
      </c>
      <c r="F81" t="n">
        <v>6</v>
      </c>
      <c r="G81" t="n">
        <v>6</v>
      </c>
      <c r="H81" t="n">
        <v>6</v>
      </c>
      <c r="I81" t="n">
        <v>6</v>
      </c>
      <c r="J81" t="n">
        <v>4.5</v>
      </c>
      <c r="K81">
        <f>AVERAGE(B81,D81,E81,I81)</f>
        <v/>
      </c>
      <c r="L81">
        <f>AVERAGE(C81,F81,G81,H81,J81)</f>
        <v/>
      </c>
      <c r="M81">
        <f>AVERAGE(B81:J81)</f>
        <v/>
      </c>
      <c r="N81">
        <f>VLOOKUP(A81,Participants!$A$2:$B$86,2,FALSE)</f>
        <v/>
      </c>
      <c r="O81">
        <f>B81+C81+D81+E81</f>
        <v/>
      </c>
    </row>
    <row r="82">
      <c r="A82" t="inlineStr">
        <is>
          <t>user_0171</t>
        </is>
      </c>
      <c r="B82" t="n">
        <v>7</v>
      </c>
      <c r="C82" t="n">
        <v>7</v>
      </c>
      <c r="D82" t="n">
        <v>7</v>
      </c>
      <c r="E82" t="n">
        <v>7</v>
      </c>
      <c r="F82" t="n">
        <v>5.5</v>
      </c>
      <c r="G82" t="n">
        <v>5.5</v>
      </c>
      <c r="H82" t="n">
        <v>5.5</v>
      </c>
      <c r="I82" t="n">
        <v>6</v>
      </c>
      <c r="J82" t="n">
        <v>5</v>
      </c>
      <c r="K82">
        <f>AVERAGE(B82,D82,E82,I82)</f>
        <v/>
      </c>
      <c r="L82">
        <f>AVERAGE(C82,F82,G82,H82,J82)</f>
        <v/>
      </c>
      <c r="M82">
        <f>AVERAGE(B82:J82)</f>
        <v/>
      </c>
      <c r="N82">
        <f>VLOOKUP(A82,Participants!$A$2:$B$86,2,FALSE)</f>
        <v/>
      </c>
      <c r="O82">
        <f>B82+C82+D82+E82</f>
        <v/>
      </c>
    </row>
    <row r="83">
      <c r="A83" t="inlineStr">
        <is>
          <t>user_0201</t>
        </is>
      </c>
      <c r="B83" t="n">
        <v>4.5</v>
      </c>
      <c r="C83" t="n">
        <v>4.5</v>
      </c>
      <c r="D83" t="n">
        <v>5</v>
      </c>
      <c r="E83" t="n">
        <v>4.5</v>
      </c>
      <c r="F83" t="n">
        <v>4.5</v>
      </c>
      <c r="G83" t="n">
        <v>5</v>
      </c>
      <c r="H83" t="n">
        <v>5.5</v>
      </c>
      <c r="I83" t="n">
        <v>5</v>
      </c>
      <c r="J83" t="n">
        <v>4</v>
      </c>
      <c r="K83">
        <f>AVERAGE(B83,D83,E83,I83)</f>
        <v/>
      </c>
      <c r="L83">
        <f>AVERAGE(C83,F83,G83,H83,J83)</f>
        <v/>
      </c>
      <c r="M83">
        <f>AVERAGE(B83:J83)</f>
        <v/>
      </c>
      <c r="N83">
        <f>VLOOKUP(A83,Participants!$A$2:$B$86,2,FALSE)</f>
        <v/>
      </c>
      <c r="O83">
        <f>B83+C83+D83+E83</f>
        <v/>
      </c>
    </row>
    <row r="84">
      <c r="A84" t="inlineStr">
        <is>
          <t>user_0203</t>
        </is>
      </c>
      <c r="B84" t="n">
        <v>4</v>
      </c>
      <c r="C84" t="n">
        <v>3.5</v>
      </c>
      <c r="D84" t="n">
        <v>3.5</v>
      </c>
      <c r="E84" t="n">
        <v>4.5</v>
      </c>
      <c r="F84" t="n">
        <v>6</v>
      </c>
      <c r="G84" t="n">
        <v>6</v>
      </c>
      <c r="H84" t="n">
        <v>6.5</v>
      </c>
      <c r="I84" t="n">
        <v>6</v>
      </c>
      <c r="J84" t="n">
        <v>5</v>
      </c>
      <c r="K84">
        <f>AVERAGE(B84,D84,E84,I84)</f>
        <v/>
      </c>
      <c r="L84">
        <f>AVERAGE(C84,F84,G84,H84,J84)</f>
        <v/>
      </c>
      <c r="M84">
        <f>AVERAGE(B84:J84)</f>
        <v/>
      </c>
      <c r="N84">
        <f>VLOOKUP(A84,Participants!$A$2:$B$86,2,FALSE)</f>
        <v/>
      </c>
      <c r="O84">
        <f>B84+C84+D84+E84</f>
        <v/>
      </c>
    </row>
    <row r="85">
      <c r="A85" t="inlineStr">
        <is>
          <t>user_0204</t>
        </is>
      </c>
      <c r="B85" t="n">
        <v>6</v>
      </c>
      <c r="C85" t="n">
        <v>5</v>
      </c>
      <c r="D85" t="n">
        <v>5</v>
      </c>
      <c r="E85" t="n">
        <v>5.5</v>
      </c>
      <c r="F85" t="n">
        <v>6</v>
      </c>
      <c r="G85" t="n">
        <v>6</v>
      </c>
      <c r="H85" t="n">
        <v>6</v>
      </c>
      <c r="I85" t="n">
        <v>3.5</v>
      </c>
      <c r="J85" t="n">
        <v>3.5</v>
      </c>
      <c r="K85">
        <f>AVERAGE(B85,D85,E85,I85)</f>
        <v/>
      </c>
      <c r="L85">
        <f>AVERAGE(C85,F85,G85,H85,J85)</f>
        <v/>
      </c>
      <c r="M85">
        <f>AVERAGE(B85:J85)</f>
        <v/>
      </c>
      <c r="N85">
        <f>VLOOKUP(A85,Participants!$A$2:$B$86,2,FALSE)</f>
        <v/>
      </c>
      <c r="O85">
        <f>B85+C85+D85+E85</f>
        <v/>
      </c>
    </row>
    <row r="86">
      <c r="A86" t="inlineStr">
        <is>
          <t>user_0205</t>
        </is>
      </c>
      <c r="B86" t="n">
        <v>6.5</v>
      </c>
      <c r="C86" t="n">
        <v>6.5</v>
      </c>
      <c r="D86" t="n">
        <v>7</v>
      </c>
      <c r="E86" t="n">
        <v>6</v>
      </c>
      <c r="F86" t="n">
        <v>5.5</v>
      </c>
      <c r="G86" t="n">
        <v>5.5</v>
      </c>
      <c r="H86" t="n">
        <v>5</v>
      </c>
      <c r="I86" t="n">
        <v>5</v>
      </c>
      <c r="J86" t="n">
        <v>7</v>
      </c>
      <c r="K86">
        <f>AVERAGE(B86,D86,E86,I86)</f>
        <v/>
      </c>
      <c r="L86">
        <f>AVERAGE(C86,F86,G86,H86,J86)</f>
        <v/>
      </c>
      <c r="M86">
        <f>AVERAGE(B86:J86)</f>
        <v/>
      </c>
      <c r="N86">
        <f>VLOOKUP(A86,Participants!$A$2:$B$86,2,FALSE)</f>
        <v/>
      </c>
      <c r="O86">
        <f>B86+C86+D86+E86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5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2" t="inlineStr">
        <is>
          <t>participant_id</t>
        </is>
      </c>
      <c r="B1" s="2" t="inlineStr">
        <is>
          <t>scenario_code</t>
        </is>
      </c>
      <c r="C1" s="2" t="inlineStr">
        <is>
          <t>complexity_class</t>
        </is>
      </c>
      <c r="D1" s="2" t="inlineStr">
        <is>
          <t>scenario_index</t>
        </is>
      </c>
      <c r="E1" s="2" t="inlineStr">
        <is>
          <t>started_at</t>
        </is>
      </c>
      <c r="F1" s="2" t="inlineStr">
        <is>
          <t>completed_at</t>
        </is>
      </c>
      <c r="G1" s="2" t="inlineStr">
        <is>
          <t>total_turns</t>
        </is>
      </c>
      <c r="H1" s="2" t="inlineStr">
        <is>
          <t>total_elapsed_s</t>
        </is>
      </c>
      <c r="I1" s="2" t="inlineStr">
        <is>
          <t>attempt_number</t>
        </is>
      </c>
      <c r="J1" s="2" t="inlineStr">
        <is>
          <t>l1_syntax_ok</t>
        </is>
      </c>
      <c r="K1" s="2" t="inlineStr">
        <is>
          <t>l1_api_valid</t>
        </is>
      </c>
      <c r="L1" s="2" t="inlineStr">
        <is>
          <t>exec_pass_rate</t>
        </is>
      </c>
      <c r="M1" s="2" t="inlineStr">
        <is>
          <t>eval_behavioral_match</t>
        </is>
      </c>
      <c r="N1" s="2" t="inlineStr">
        <is>
          <t>eval_confidence</t>
        </is>
      </c>
      <c r="O1" s="2" t="inlineStr">
        <is>
          <t>eval_code_correct</t>
        </is>
      </c>
      <c r="P1" s="2" t="inlineStr">
        <is>
          <t>sandbox_all_pass</t>
        </is>
      </c>
      <c r="Q1" s="2" t="inlineStr">
        <is>
          <t>evaluator_1</t>
        </is>
      </c>
      <c r="R1" s="2" t="inlineStr">
        <is>
          <t>evaluator_2</t>
        </is>
      </c>
      <c r="S1" s="2" t="inlineStr">
        <is>
          <t>oracle_consensus</t>
        </is>
      </c>
      <c r="T1" s="2" t="inlineStr">
        <is>
          <t>success</t>
        </is>
      </c>
      <c r="U1" s="2" t="inlineStr">
        <is>
          <t>is_correct</t>
        </is>
      </c>
      <c r="V1" s="2" t="inlineStr">
        <is>
          <t>user_type</t>
        </is>
      </c>
    </row>
    <row r="2">
      <c r="A2" t="inlineStr">
        <is>
          <t>user_0001</t>
        </is>
      </c>
      <c r="B2" t="inlineStr">
        <is>
          <t>S1</t>
        </is>
      </c>
      <c r="C2" t="inlineStr">
        <is>
          <t>C1</t>
        </is>
      </c>
      <c r="D2" t="n">
        <v>0</v>
      </c>
      <c r="E2" t="inlineStr">
        <is>
          <t>2026-03-21T10:12:13.279807+00:00</t>
        </is>
      </c>
      <c r="F2" t="inlineStr">
        <is>
          <t>2026-03-21T10:12:13.298546+00:00</t>
        </is>
      </c>
      <c r="G2" t="n">
        <v>10</v>
      </c>
      <c r="H2" t="n">
        <v>407.31</v>
      </c>
      <c r="I2" t="n">
        <v>2</v>
      </c>
      <c r="J2" t="n">
        <v>1</v>
      </c>
      <c r="K2" t="n">
        <v>1</v>
      </c>
      <c r="M2" t="inlineStr">
        <is>
          <t>partially</t>
        </is>
      </c>
      <c r="N2" t="n">
        <v>3</v>
      </c>
      <c r="Q2" t="inlineStr">
        <is>
          <t>correct</t>
        </is>
      </c>
      <c r="R2" t="inlineStr">
        <is>
          <t>correct</t>
        </is>
      </c>
      <c r="S2" t="inlineStr">
        <is>
          <t>matches_completely</t>
        </is>
      </c>
      <c r="T2" t="inlineStr">
        <is>
          <t>correct</t>
        </is>
      </c>
      <c r="U2">
        <f>IF(T2="correct",1,0)</f>
        <v/>
      </c>
      <c r="V2">
        <f>VLOOKUP(A2,Participants!$A$2:$B$86,2,FALSE)</f>
        <v/>
      </c>
    </row>
    <row r="3">
      <c r="A3" t="inlineStr">
        <is>
          <t>user_0001</t>
        </is>
      </c>
      <c r="B3" t="inlineStr">
        <is>
          <t>M1</t>
        </is>
      </c>
      <c r="C3" t="inlineStr">
        <is>
          <t>C2</t>
        </is>
      </c>
      <c r="D3" t="n">
        <v>1</v>
      </c>
      <c r="E3" t="inlineStr">
        <is>
          <t>2026-03-21T10:19:09.791128+00:00</t>
        </is>
      </c>
      <c r="F3" t="inlineStr">
        <is>
          <t>2026-03-21T10:19:09.810582+00:00</t>
        </is>
      </c>
      <c r="G3" t="n">
        <v>8</v>
      </c>
      <c r="H3" t="n">
        <v>73.25</v>
      </c>
      <c r="I3" t="n">
        <v>2</v>
      </c>
      <c r="J3" t="n">
        <v>1</v>
      </c>
      <c r="K3" t="n">
        <v>1</v>
      </c>
      <c r="M3" t="inlineStr">
        <is>
          <t>partially</t>
        </is>
      </c>
      <c r="N3" t="n">
        <v>4</v>
      </c>
      <c r="Q3" t="inlineStr">
        <is>
          <t>correct</t>
        </is>
      </c>
      <c r="R3" t="inlineStr">
        <is>
          <t>correct</t>
        </is>
      </c>
      <c r="S3" t="inlineStr">
        <is>
          <t>matches_completely</t>
        </is>
      </c>
      <c r="T3" t="inlineStr">
        <is>
          <t>correct</t>
        </is>
      </c>
      <c r="U3">
        <f>IF(T3="correct",1,0)</f>
        <v/>
      </c>
      <c r="V3">
        <f>VLOOKUP(A3,Participants!$A$2:$B$86,2,FALSE)</f>
        <v/>
      </c>
    </row>
    <row r="4">
      <c r="A4" t="inlineStr">
        <is>
          <t>user_0001</t>
        </is>
      </c>
      <c r="B4" t="inlineStr">
        <is>
          <t>C1</t>
        </is>
      </c>
      <c r="C4" t="inlineStr">
        <is>
          <t>C3</t>
        </is>
      </c>
      <c r="D4" t="n">
        <v>2</v>
      </c>
      <c r="E4" t="inlineStr">
        <is>
          <t>2026-03-21T10:27:13.498879+00:00</t>
        </is>
      </c>
      <c r="F4" t="inlineStr">
        <is>
          <t>2026-03-21T10:27:13.520056+00:00</t>
        </is>
      </c>
      <c r="G4" t="n">
        <v>8</v>
      </c>
      <c r="H4" t="n">
        <v>177.94</v>
      </c>
      <c r="I4" t="n">
        <v>2</v>
      </c>
      <c r="J4" t="n">
        <v>1</v>
      </c>
      <c r="K4" t="n">
        <v>1</v>
      </c>
      <c r="M4" t="inlineStr">
        <is>
          <t>matches_completely</t>
        </is>
      </c>
      <c r="N4" t="n">
        <v>3</v>
      </c>
      <c r="Q4" t="inlineStr">
        <is>
          <t>correct</t>
        </is>
      </c>
      <c r="R4" t="inlineStr">
        <is>
          <t>correct</t>
        </is>
      </c>
      <c r="S4" t="inlineStr">
        <is>
          <t>matches_completely</t>
        </is>
      </c>
      <c r="T4" t="inlineStr">
        <is>
          <t>correct</t>
        </is>
      </c>
      <c r="U4">
        <f>IF(T4="correct",1,0)</f>
        <v/>
      </c>
      <c r="V4">
        <f>VLOOKUP(A4,Participants!$A$2:$B$86,2,FALSE)</f>
        <v/>
      </c>
    </row>
    <row r="5">
      <c r="A5" t="inlineStr">
        <is>
          <t>user_0001</t>
        </is>
      </c>
      <c r="B5" t="inlineStr">
        <is>
          <t>S2</t>
        </is>
      </c>
      <c r="C5" t="inlineStr">
        <is>
          <t>C1</t>
        </is>
      </c>
      <c r="D5" t="n">
        <v>3</v>
      </c>
      <c r="E5" t="inlineStr">
        <is>
          <t>2026-03-21T10:36:38.264817+00:00</t>
        </is>
      </c>
      <c r="F5" t="inlineStr">
        <is>
          <t>2026-03-21T10:36:38.282641+00:00</t>
        </is>
      </c>
      <c r="G5" t="n">
        <v>4</v>
      </c>
      <c r="H5" t="n">
        <v>75.88</v>
      </c>
      <c r="I5" t="n">
        <v>1</v>
      </c>
      <c r="J5" t="n">
        <v>1</v>
      </c>
      <c r="K5" t="n">
        <v>1</v>
      </c>
      <c r="M5" t="inlineStr">
        <is>
          <t>matches_completely</t>
        </is>
      </c>
      <c r="N5" t="n">
        <v>4</v>
      </c>
      <c r="Q5" t="inlineStr">
        <is>
          <t>correct</t>
        </is>
      </c>
      <c r="R5" t="inlineStr">
        <is>
          <t>correct</t>
        </is>
      </c>
      <c r="S5" t="inlineStr">
        <is>
          <t>matches_completely</t>
        </is>
      </c>
      <c r="T5" t="inlineStr">
        <is>
          <t>correct</t>
        </is>
      </c>
      <c r="U5">
        <f>IF(T5="correct",1,0)</f>
        <v/>
      </c>
      <c r="V5">
        <f>VLOOKUP(A5,Participants!$A$2:$B$86,2,FALSE)</f>
        <v/>
      </c>
    </row>
    <row r="6">
      <c r="A6" t="inlineStr">
        <is>
          <t>user_0001</t>
        </is>
      </c>
      <c r="B6" t="inlineStr">
        <is>
          <t>M2</t>
        </is>
      </c>
      <c r="C6" t="inlineStr">
        <is>
          <t>C2</t>
        </is>
      </c>
      <c r="D6" t="n">
        <v>4</v>
      </c>
      <c r="E6" t="inlineStr">
        <is>
          <t>2026-03-21T10:39:36.228744+00:00</t>
        </is>
      </c>
      <c r="F6" t="inlineStr">
        <is>
          <t>2026-03-21T10:39:36.246336+00:00</t>
        </is>
      </c>
      <c r="G6" t="n">
        <v>4</v>
      </c>
      <c r="H6" t="n">
        <v>108.95</v>
      </c>
      <c r="I6" t="n">
        <v>1</v>
      </c>
      <c r="J6" t="n">
        <v>1</v>
      </c>
      <c r="K6" t="n">
        <v>1</v>
      </c>
      <c r="M6" t="inlineStr">
        <is>
          <t>partially</t>
        </is>
      </c>
      <c r="N6" t="n">
        <v>3</v>
      </c>
      <c r="Q6" t="inlineStr">
        <is>
          <t>correct</t>
        </is>
      </c>
      <c r="R6" t="inlineStr">
        <is>
          <t>correct</t>
        </is>
      </c>
      <c r="S6" t="inlineStr">
        <is>
          <t>partially</t>
        </is>
      </c>
      <c r="T6" t="inlineStr">
        <is>
          <t>correct</t>
        </is>
      </c>
      <c r="U6">
        <f>IF(T6="correct",1,0)</f>
        <v/>
      </c>
      <c r="V6">
        <f>VLOOKUP(A6,Participants!$A$2:$B$86,2,FALSE)</f>
        <v/>
      </c>
    </row>
    <row r="7">
      <c r="A7" t="inlineStr">
        <is>
          <t>user_0001</t>
        </is>
      </c>
      <c r="B7" t="inlineStr">
        <is>
          <t>C2</t>
        </is>
      </c>
      <c r="C7" t="inlineStr">
        <is>
          <t>C3</t>
        </is>
      </c>
      <c r="D7" t="n">
        <v>5</v>
      </c>
      <c r="E7" t="inlineStr">
        <is>
          <t>2026-03-21T10:41:08.515339+00:00</t>
        </is>
      </c>
      <c r="F7" t="inlineStr">
        <is>
          <t>2026-03-21T10:41:08.536375+00:00</t>
        </is>
      </c>
      <c r="G7" t="n">
        <v>4</v>
      </c>
      <c r="H7" t="n">
        <v>60.61</v>
      </c>
      <c r="I7" t="n">
        <v>1</v>
      </c>
      <c r="J7" t="n">
        <v>1</v>
      </c>
      <c r="K7" t="n">
        <v>1</v>
      </c>
      <c r="M7" t="inlineStr">
        <is>
          <t>matches_completely</t>
        </is>
      </c>
      <c r="N7" t="n">
        <v>3</v>
      </c>
      <c r="Q7" t="inlineStr">
        <is>
          <t>correct</t>
        </is>
      </c>
      <c r="R7" t="inlineStr">
        <is>
          <t>correct</t>
        </is>
      </c>
      <c r="S7" t="inlineStr">
        <is>
          <t>matches_completely</t>
        </is>
      </c>
      <c r="T7" t="inlineStr">
        <is>
          <t>correct</t>
        </is>
      </c>
      <c r="U7">
        <f>IF(T7="correct",1,0)</f>
        <v/>
      </c>
      <c r="V7">
        <f>VLOOKUP(A7,Participants!$A$2:$B$86,2,FALSE)</f>
        <v/>
      </c>
    </row>
    <row r="8">
      <c r="A8" t="inlineStr">
        <is>
          <t>user_0002</t>
        </is>
      </c>
      <c r="B8" t="inlineStr">
        <is>
          <t>S1</t>
        </is>
      </c>
      <c r="C8" t="inlineStr">
        <is>
          <t>C1</t>
        </is>
      </c>
      <c r="D8" t="n">
        <v>0</v>
      </c>
      <c r="E8" t="inlineStr">
        <is>
          <t>2026-03-21T10:10:36.470477+00:00</t>
        </is>
      </c>
      <c r="F8" t="inlineStr">
        <is>
          <t>2026-03-21T10:10:36.490526+00:00</t>
        </is>
      </c>
      <c r="G8" t="n">
        <v>7</v>
      </c>
      <c r="H8" t="n">
        <v>403.81</v>
      </c>
      <c r="I8" t="n">
        <v>2</v>
      </c>
      <c r="J8" t="n">
        <v>1</v>
      </c>
      <c r="K8" t="n">
        <v>1</v>
      </c>
      <c r="M8" t="inlineStr">
        <is>
          <t>matches_completely</t>
        </is>
      </c>
      <c r="N8" t="n">
        <v>4</v>
      </c>
      <c r="Q8" t="inlineStr">
        <is>
          <t>correct</t>
        </is>
      </c>
      <c r="R8" t="inlineStr">
        <is>
          <t>correct</t>
        </is>
      </c>
      <c r="S8" t="inlineStr">
        <is>
          <t>matches_completely</t>
        </is>
      </c>
      <c r="T8" t="inlineStr">
        <is>
          <t>correct</t>
        </is>
      </c>
      <c r="U8">
        <f>IF(T8="correct",1,0)</f>
        <v/>
      </c>
      <c r="V8">
        <f>VLOOKUP(A8,Participants!$A$2:$B$86,2,FALSE)</f>
        <v/>
      </c>
    </row>
    <row r="9">
      <c r="A9" t="inlineStr">
        <is>
          <t>user_0002</t>
        </is>
      </c>
      <c r="B9" t="inlineStr">
        <is>
          <t>M1</t>
        </is>
      </c>
      <c r="C9" t="inlineStr">
        <is>
          <t>C2</t>
        </is>
      </c>
      <c r="D9" t="n">
        <v>1</v>
      </c>
      <c r="E9" t="inlineStr">
        <is>
          <t>2026-03-21T10:19:13.710421+00:00</t>
        </is>
      </c>
      <c r="F9" t="inlineStr">
        <is>
          <t>2026-03-21T10:19:13.731503+00:00</t>
        </is>
      </c>
      <c r="G9" t="n">
        <v>10</v>
      </c>
      <c r="H9" t="n">
        <v>227.27</v>
      </c>
      <c r="I9" t="n">
        <v>3</v>
      </c>
      <c r="J9" t="n">
        <v>1</v>
      </c>
      <c r="K9" t="n">
        <v>1</v>
      </c>
      <c r="M9" t="inlineStr">
        <is>
          <t>partially</t>
        </is>
      </c>
      <c r="N9" t="n">
        <v>4</v>
      </c>
      <c r="Q9" t="inlineStr">
        <is>
          <t>correct</t>
        </is>
      </c>
      <c r="R9" t="inlineStr">
        <is>
          <t>correct</t>
        </is>
      </c>
      <c r="S9" t="inlineStr">
        <is>
          <t>matches_completely</t>
        </is>
      </c>
      <c r="T9" t="inlineStr">
        <is>
          <t>correct</t>
        </is>
      </c>
      <c r="U9">
        <f>IF(T9="correct",1,0)</f>
        <v/>
      </c>
      <c r="V9">
        <f>VLOOKUP(A9,Participants!$A$2:$B$86,2,FALSE)</f>
        <v/>
      </c>
    </row>
    <row r="10">
      <c r="A10" t="inlineStr">
        <is>
          <t>user_0002</t>
        </is>
      </c>
      <c r="B10" t="inlineStr">
        <is>
          <t>C1</t>
        </is>
      </c>
      <c r="C10" t="inlineStr">
        <is>
          <t>C3</t>
        </is>
      </c>
      <c r="D10" t="n">
        <v>2</v>
      </c>
      <c r="E10" t="inlineStr">
        <is>
          <t>2026-03-21T10:23:45.323203+00:00</t>
        </is>
      </c>
      <c r="F10" t="inlineStr">
        <is>
          <t>2026-03-21T10:23:45.345426+00:00</t>
        </is>
      </c>
      <c r="G10" t="n">
        <v>7</v>
      </c>
      <c r="H10" t="n">
        <v>160.45</v>
      </c>
      <c r="I10" t="n">
        <v>2</v>
      </c>
      <c r="J10" t="n">
        <v>1</v>
      </c>
      <c r="K10" t="n">
        <v>1</v>
      </c>
      <c r="M10" t="inlineStr">
        <is>
          <t>matches_completely</t>
        </is>
      </c>
      <c r="N10" t="n">
        <v>4</v>
      </c>
      <c r="Q10" t="inlineStr">
        <is>
          <t>correct</t>
        </is>
      </c>
      <c r="R10" t="inlineStr">
        <is>
          <t>correct</t>
        </is>
      </c>
      <c r="S10" t="inlineStr">
        <is>
          <t>matches_completely</t>
        </is>
      </c>
      <c r="T10" t="inlineStr">
        <is>
          <t>correct</t>
        </is>
      </c>
      <c r="U10">
        <f>IF(T10="correct",1,0)</f>
        <v/>
      </c>
      <c r="V10">
        <f>VLOOKUP(A10,Participants!$A$2:$B$86,2,FALSE)</f>
        <v/>
      </c>
    </row>
    <row r="11">
      <c r="A11" t="inlineStr">
        <is>
          <t>user_0002</t>
        </is>
      </c>
      <c r="B11" t="inlineStr">
        <is>
          <t>S2</t>
        </is>
      </c>
      <c r="C11" t="inlineStr">
        <is>
          <t>C1</t>
        </is>
      </c>
      <c r="D11" t="n">
        <v>3</v>
      </c>
      <c r="E11" t="inlineStr">
        <is>
          <t>2026-03-21T10:31:30.940065+00:00</t>
        </is>
      </c>
      <c r="F11" t="inlineStr">
        <is>
          <t>2026-03-21T10:31:30.958198+00:00</t>
        </is>
      </c>
      <c r="G11" t="n">
        <v>4</v>
      </c>
      <c r="H11" t="n">
        <v>67.16</v>
      </c>
      <c r="I11" t="n">
        <v>1</v>
      </c>
      <c r="J11" t="n">
        <v>1</v>
      </c>
      <c r="K11" t="n">
        <v>1</v>
      </c>
      <c r="M11" t="inlineStr">
        <is>
          <t>matches_completely</t>
        </is>
      </c>
      <c r="N11" t="n">
        <v>4</v>
      </c>
      <c r="Q11" t="inlineStr">
        <is>
          <t>correct</t>
        </is>
      </c>
      <c r="R11" t="inlineStr">
        <is>
          <t>correct</t>
        </is>
      </c>
      <c r="S11" t="inlineStr">
        <is>
          <t>matches_completely</t>
        </is>
      </c>
      <c r="T11" t="inlineStr">
        <is>
          <t>correct</t>
        </is>
      </c>
      <c r="U11">
        <f>IF(T11="correct",1,0)</f>
        <v/>
      </c>
      <c r="V11">
        <f>VLOOKUP(A11,Participants!$A$2:$B$86,2,FALSE)</f>
        <v/>
      </c>
    </row>
    <row r="12">
      <c r="A12" t="inlineStr">
        <is>
          <t>user_0002</t>
        </is>
      </c>
      <c r="B12" t="inlineStr">
        <is>
          <t>M2</t>
        </is>
      </c>
      <c r="C12" t="inlineStr">
        <is>
          <t>C2</t>
        </is>
      </c>
      <c r="D12" t="n">
        <v>4</v>
      </c>
      <c r="E12" t="inlineStr">
        <is>
          <t>2026-03-21T10:35:09.901181+00:00</t>
        </is>
      </c>
      <c r="F12" t="inlineStr">
        <is>
          <t>2026-03-21T10:35:09.918120+00:00</t>
        </is>
      </c>
      <c r="G12" t="n">
        <v>4</v>
      </c>
      <c r="H12" t="n">
        <v>171.53</v>
      </c>
      <c r="I12" t="n">
        <v>1</v>
      </c>
      <c r="J12" t="n">
        <v>1</v>
      </c>
      <c r="K12" t="n">
        <v>1</v>
      </c>
      <c r="M12" t="inlineStr">
        <is>
          <t>partially</t>
        </is>
      </c>
      <c r="N12" t="n">
        <v>4</v>
      </c>
      <c r="Q12" t="inlineStr">
        <is>
          <t>correct</t>
        </is>
      </c>
      <c r="R12" t="inlineStr">
        <is>
          <t>correct</t>
        </is>
      </c>
      <c r="S12" t="inlineStr">
        <is>
          <t>partially</t>
        </is>
      </c>
      <c r="T12" t="inlineStr">
        <is>
          <t>correct</t>
        </is>
      </c>
      <c r="U12">
        <f>IF(T12="correct",1,0)</f>
        <v/>
      </c>
      <c r="V12">
        <f>VLOOKUP(A12,Participants!$A$2:$B$86,2,FALSE)</f>
        <v/>
      </c>
    </row>
    <row r="13">
      <c r="A13" t="inlineStr">
        <is>
          <t>user_0002</t>
        </is>
      </c>
      <c r="B13" t="inlineStr">
        <is>
          <t>C2</t>
        </is>
      </c>
      <c r="C13" t="inlineStr">
        <is>
          <t>C3</t>
        </is>
      </c>
      <c r="D13" t="n">
        <v>5</v>
      </c>
      <c r="E13" t="inlineStr">
        <is>
          <t>2026-03-21T10:36:39.998118+00:00</t>
        </is>
      </c>
      <c r="F13" t="inlineStr">
        <is>
          <t>2026-03-21T10:36:40.017811+00:00</t>
        </is>
      </c>
      <c r="G13" t="n">
        <v>4</v>
      </c>
      <c r="H13" t="n">
        <v>74.95</v>
      </c>
      <c r="I13" t="n">
        <v>1</v>
      </c>
      <c r="J13" t="n">
        <v>1</v>
      </c>
      <c r="K13" t="n">
        <v>1</v>
      </c>
      <c r="M13" t="inlineStr">
        <is>
          <t>matches_completely</t>
        </is>
      </c>
      <c r="N13" t="n">
        <v>4</v>
      </c>
      <c r="Q13" t="inlineStr">
        <is>
          <t>correct</t>
        </is>
      </c>
      <c r="R13" t="inlineStr">
        <is>
          <t>correct</t>
        </is>
      </c>
      <c r="S13" t="inlineStr">
        <is>
          <t>matches_completely</t>
        </is>
      </c>
      <c r="T13" t="inlineStr">
        <is>
          <t>correct</t>
        </is>
      </c>
      <c r="U13">
        <f>IF(T13="correct",1,0)</f>
        <v/>
      </c>
      <c r="V13">
        <f>VLOOKUP(A13,Participants!$A$2:$B$86,2,FALSE)</f>
        <v/>
      </c>
    </row>
    <row r="14">
      <c r="A14" t="inlineStr">
        <is>
          <t>user_0003</t>
        </is>
      </c>
      <c r="B14" t="inlineStr">
        <is>
          <t>S1</t>
        </is>
      </c>
      <c r="C14" t="inlineStr">
        <is>
          <t>C1</t>
        </is>
      </c>
      <c r="D14" t="n">
        <v>0</v>
      </c>
      <c r="E14" t="inlineStr">
        <is>
          <t>2026-03-21T10:10:28.270264+00:00</t>
        </is>
      </c>
      <c r="F14" t="inlineStr">
        <is>
          <t>2026-03-21T10:10:28.325722+00:00</t>
        </is>
      </c>
      <c r="G14" t="n">
        <v>10</v>
      </c>
      <c r="H14" t="n">
        <v>335.62</v>
      </c>
      <c r="I14" t="n">
        <v>3</v>
      </c>
      <c r="J14" t="n">
        <v>1</v>
      </c>
      <c r="K14" t="n">
        <v>1</v>
      </c>
      <c r="M14" t="inlineStr">
        <is>
          <t>matches_completely</t>
        </is>
      </c>
      <c r="N14" t="n">
        <v>5</v>
      </c>
      <c r="Q14" t="inlineStr">
        <is>
          <t>correct</t>
        </is>
      </c>
      <c r="R14" t="inlineStr">
        <is>
          <t>correct</t>
        </is>
      </c>
      <c r="S14" t="inlineStr">
        <is>
          <t>matches_completely</t>
        </is>
      </c>
      <c r="T14" t="inlineStr">
        <is>
          <t>correct</t>
        </is>
      </c>
      <c r="U14">
        <f>IF(T14="correct",1,0)</f>
        <v/>
      </c>
      <c r="V14">
        <f>VLOOKUP(A14,Participants!$A$2:$B$86,2,FALSE)</f>
        <v/>
      </c>
    </row>
    <row r="15">
      <c r="A15" t="inlineStr">
        <is>
          <t>user_0003</t>
        </is>
      </c>
      <c r="B15" t="inlineStr">
        <is>
          <t>M1</t>
        </is>
      </c>
      <c r="C15" t="inlineStr">
        <is>
          <t>C2</t>
        </is>
      </c>
      <c r="D15" t="n">
        <v>1</v>
      </c>
      <c r="E15" t="inlineStr">
        <is>
          <t>2026-03-21T10:18:40.697089+00:00</t>
        </is>
      </c>
      <c r="F15" t="inlineStr">
        <is>
          <t>2026-03-21T10:18:40.714890+00:00</t>
        </is>
      </c>
      <c r="G15" t="n">
        <v>10</v>
      </c>
      <c r="H15" t="n">
        <v>295.11</v>
      </c>
      <c r="I15" t="n">
        <v>3</v>
      </c>
      <c r="J15" t="n">
        <v>1</v>
      </c>
      <c r="K15" t="n">
        <v>0</v>
      </c>
      <c r="M15" t="inlineStr">
        <is>
          <t>partially</t>
        </is>
      </c>
      <c r="N15" t="n">
        <v>5</v>
      </c>
      <c r="Q15" t="inlineStr">
        <is>
          <t>correct</t>
        </is>
      </c>
      <c r="R15" t="inlineStr">
        <is>
          <t>correct</t>
        </is>
      </c>
      <c r="S15" t="inlineStr">
        <is>
          <t>matches_completely</t>
        </is>
      </c>
      <c r="T15" t="inlineStr">
        <is>
          <t>correct</t>
        </is>
      </c>
      <c r="U15">
        <f>IF(T15="correct",1,0)</f>
        <v/>
      </c>
      <c r="V15">
        <f>VLOOKUP(A15,Participants!$A$2:$B$86,2,FALSE)</f>
        <v/>
      </c>
    </row>
    <row r="16">
      <c r="A16" t="inlineStr">
        <is>
          <t>user_0003</t>
        </is>
      </c>
      <c r="B16" t="inlineStr">
        <is>
          <t>C1</t>
        </is>
      </c>
      <c r="C16" t="inlineStr">
        <is>
          <t>C3</t>
        </is>
      </c>
      <c r="D16" t="n">
        <v>2</v>
      </c>
      <c r="E16" t="inlineStr">
        <is>
          <t>2026-03-21T10:23:09.263517+00:00</t>
        </is>
      </c>
      <c r="F16" t="inlineStr">
        <is>
          <t>2026-03-21T10:23:09.288241+00:00</t>
        </is>
      </c>
      <c r="G16" t="n">
        <v>7</v>
      </c>
      <c r="H16" t="n">
        <v>149.92</v>
      </c>
      <c r="I16" t="n">
        <v>2</v>
      </c>
      <c r="J16" t="n">
        <v>1</v>
      </c>
      <c r="K16" t="n">
        <v>1</v>
      </c>
      <c r="M16" t="inlineStr">
        <is>
          <t>matches_completely</t>
        </is>
      </c>
      <c r="N16" t="n">
        <v>5</v>
      </c>
      <c r="Q16" t="inlineStr">
        <is>
          <t>correct</t>
        </is>
      </c>
      <c r="R16" t="inlineStr">
        <is>
          <t>correct</t>
        </is>
      </c>
      <c r="S16" t="inlineStr">
        <is>
          <t>partially</t>
        </is>
      </c>
      <c r="T16" t="inlineStr">
        <is>
          <t>correct</t>
        </is>
      </c>
      <c r="U16">
        <f>IF(T16="correct",1,0)</f>
        <v/>
      </c>
      <c r="V16">
        <f>VLOOKUP(A16,Participants!$A$2:$B$86,2,FALSE)</f>
        <v/>
      </c>
    </row>
    <row r="17">
      <c r="A17" t="inlineStr">
        <is>
          <t>user_0003</t>
        </is>
      </c>
      <c r="B17" t="inlineStr">
        <is>
          <t>S2</t>
        </is>
      </c>
      <c r="C17" t="inlineStr">
        <is>
          <t>C1</t>
        </is>
      </c>
      <c r="D17" t="n">
        <v>3</v>
      </c>
      <c r="E17" t="inlineStr">
        <is>
          <t>2026-03-21T10:33:55.758149+00:00</t>
        </is>
      </c>
      <c r="F17" t="inlineStr">
        <is>
          <t>2026-03-21T10:33:55.781619+00:00</t>
        </is>
      </c>
      <c r="G17" t="n">
        <v>11</v>
      </c>
      <c r="H17" t="n">
        <v>279.7</v>
      </c>
      <c r="I17" t="n">
        <v>3</v>
      </c>
      <c r="J17" t="n">
        <v>1</v>
      </c>
      <c r="K17" t="n">
        <v>1</v>
      </c>
      <c r="M17" t="inlineStr">
        <is>
          <t>partially</t>
        </is>
      </c>
      <c r="N17" t="n">
        <v>4</v>
      </c>
      <c r="Q17" t="inlineStr">
        <is>
          <t>correct</t>
        </is>
      </c>
      <c r="R17" t="inlineStr">
        <is>
          <t>correct</t>
        </is>
      </c>
      <c r="S17" t="inlineStr">
        <is>
          <t>matches_completely</t>
        </is>
      </c>
      <c r="T17" t="inlineStr">
        <is>
          <t>correct</t>
        </is>
      </c>
      <c r="U17">
        <f>IF(T17="correct",1,0)</f>
        <v/>
      </c>
      <c r="V17">
        <f>VLOOKUP(A17,Participants!$A$2:$B$86,2,FALSE)</f>
        <v/>
      </c>
    </row>
    <row r="18">
      <c r="A18" t="inlineStr">
        <is>
          <t>user_0003</t>
        </is>
      </c>
      <c r="B18" t="inlineStr">
        <is>
          <t>M2</t>
        </is>
      </c>
      <c r="C18" t="inlineStr">
        <is>
          <t>C2</t>
        </is>
      </c>
      <c r="D18" t="n">
        <v>4</v>
      </c>
      <c r="E18" t="inlineStr">
        <is>
          <t>2026-03-21T10:38:03.544183+00:00</t>
        </is>
      </c>
      <c r="F18" t="inlineStr">
        <is>
          <t>2026-03-21T10:38:03.566676+00:00</t>
        </is>
      </c>
      <c r="G18" t="n">
        <v>7</v>
      </c>
      <c r="H18" t="n">
        <v>146.53</v>
      </c>
      <c r="I18" t="n">
        <v>2</v>
      </c>
      <c r="J18" t="n">
        <v>1</v>
      </c>
      <c r="K18" t="n">
        <v>1</v>
      </c>
      <c r="M18" t="inlineStr">
        <is>
          <t>matches_completely</t>
        </is>
      </c>
      <c r="N18" t="n">
        <v>4</v>
      </c>
      <c r="Q18" t="inlineStr">
        <is>
          <t>correct</t>
        </is>
      </c>
      <c r="R18" t="inlineStr">
        <is>
          <t>correct</t>
        </is>
      </c>
      <c r="S18" t="inlineStr">
        <is>
          <t>matches_completely</t>
        </is>
      </c>
      <c r="T18" t="inlineStr">
        <is>
          <t>correct</t>
        </is>
      </c>
      <c r="U18">
        <f>IF(T18="correct",1,0)</f>
        <v/>
      </c>
      <c r="V18">
        <f>VLOOKUP(A18,Participants!$A$2:$B$86,2,FALSE)</f>
        <v/>
      </c>
    </row>
    <row r="19">
      <c r="A19" t="inlineStr">
        <is>
          <t>user_0003</t>
        </is>
      </c>
      <c r="B19" t="inlineStr">
        <is>
          <t>C2</t>
        </is>
      </c>
      <c r="C19" t="inlineStr">
        <is>
          <t>C3</t>
        </is>
      </c>
      <c r="D19" t="n">
        <v>5</v>
      </c>
      <c r="E19" t="inlineStr">
        <is>
          <t>2026-03-21T10:39:35.748790+00:00</t>
        </is>
      </c>
      <c r="F19" t="inlineStr">
        <is>
          <t>2026-03-21T10:39:35.768862+00:00</t>
        </is>
      </c>
      <c r="G19" t="n">
        <v>4</v>
      </c>
      <c r="H19" t="n">
        <v>67.64</v>
      </c>
      <c r="I19" t="n">
        <v>1</v>
      </c>
      <c r="J19" t="n">
        <v>1</v>
      </c>
      <c r="K19" t="n">
        <v>1</v>
      </c>
      <c r="M19" t="inlineStr">
        <is>
          <t>partially</t>
        </is>
      </c>
      <c r="N19" t="n">
        <v>4</v>
      </c>
      <c r="Q19" t="inlineStr">
        <is>
          <t>correct</t>
        </is>
      </c>
      <c r="R19" t="inlineStr">
        <is>
          <t>correct</t>
        </is>
      </c>
      <c r="S19" t="inlineStr">
        <is>
          <t>matches_completely</t>
        </is>
      </c>
      <c r="T19" t="inlineStr">
        <is>
          <t>correct</t>
        </is>
      </c>
      <c r="U19">
        <f>IF(T19="correct",1,0)</f>
        <v/>
      </c>
      <c r="V19">
        <f>VLOOKUP(A19,Participants!$A$2:$B$86,2,FALSE)</f>
        <v/>
      </c>
    </row>
    <row r="20">
      <c r="A20" t="inlineStr">
        <is>
          <t>user_0004</t>
        </is>
      </c>
      <c r="B20" t="inlineStr">
        <is>
          <t>S1</t>
        </is>
      </c>
      <c r="C20" t="inlineStr">
        <is>
          <t>C1</t>
        </is>
      </c>
      <c r="D20" t="n">
        <v>0</v>
      </c>
      <c r="E20" t="inlineStr">
        <is>
          <t>2026-03-21T10:03:13.583434+00:00</t>
        </is>
      </c>
      <c r="F20" t="inlineStr">
        <is>
          <t>2026-03-21T10:03:13.607392+00:00</t>
        </is>
      </c>
      <c r="G20" t="n">
        <v>8</v>
      </c>
      <c r="H20" t="n">
        <v>149.53</v>
      </c>
      <c r="I20" t="n">
        <v>1</v>
      </c>
      <c r="J20" t="n">
        <v>1</v>
      </c>
      <c r="K20" t="n">
        <v>1</v>
      </c>
      <c r="M20" t="inlineStr">
        <is>
          <t>matches_completely</t>
        </is>
      </c>
      <c r="N20" t="n">
        <v>5</v>
      </c>
      <c r="Q20" t="inlineStr">
        <is>
          <t>correct</t>
        </is>
      </c>
      <c r="R20" t="inlineStr">
        <is>
          <t>correct</t>
        </is>
      </c>
      <c r="S20" t="inlineStr">
        <is>
          <t>matches_completely</t>
        </is>
      </c>
      <c r="T20" t="inlineStr">
        <is>
          <t>correct</t>
        </is>
      </c>
      <c r="U20">
        <f>IF(T20="correct",1,0)</f>
        <v/>
      </c>
      <c r="V20">
        <f>VLOOKUP(A20,Participants!$A$2:$B$86,2,FALSE)</f>
        <v/>
      </c>
    </row>
    <row r="21">
      <c r="A21" t="inlineStr">
        <is>
          <t>user_0004</t>
        </is>
      </c>
      <c r="B21" t="inlineStr">
        <is>
          <t>M1</t>
        </is>
      </c>
      <c r="C21" t="inlineStr">
        <is>
          <t>C2</t>
        </is>
      </c>
      <c r="D21" t="n">
        <v>1</v>
      </c>
      <c r="E21" t="inlineStr">
        <is>
          <t>2026-03-21T10:09:32.141532+00:00</t>
        </is>
      </c>
      <c r="F21" t="inlineStr">
        <is>
          <t>2026-03-21T10:09:32.163552+00:00</t>
        </is>
      </c>
      <c r="G21" t="n">
        <v>8</v>
      </c>
      <c r="H21" t="n">
        <v>135.36</v>
      </c>
      <c r="I21" t="n">
        <v>2</v>
      </c>
      <c r="J21" t="n">
        <v>1</v>
      </c>
      <c r="K21" t="n">
        <v>1</v>
      </c>
      <c r="M21" t="inlineStr">
        <is>
          <t>matches_completely</t>
        </is>
      </c>
      <c r="N21" t="n">
        <v>5</v>
      </c>
      <c r="Q21" t="inlineStr">
        <is>
          <t>correct</t>
        </is>
      </c>
      <c r="R21" t="inlineStr">
        <is>
          <t>correct</t>
        </is>
      </c>
      <c r="S21" t="inlineStr">
        <is>
          <t>matches_completely</t>
        </is>
      </c>
      <c r="T21" t="inlineStr">
        <is>
          <t>correct</t>
        </is>
      </c>
      <c r="U21">
        <f>IF(T21="correct",1,0)</f>
        <v/>
      </c>
      <c r="V21">
        <f>VLOOKUP(A21,Participants!$A$2:$B$86,2,FALSE)</f>
        <v/>
      </c>
    </row>
    <row r="22">
      <c r="A22" t="inlineStr">
        <is>
          <t>user_0004</t>
        </is>
      </c>
      <c r="B22" t="inlineStr">
        <is>
          <t>C1</t>
        </is>
      </c>
      <c r="C22" t="inlineStr">
        <is>
          <t>C3</t>
        </is>
      </c>
      <c r="D22" t="n">
        <v>2</v>
      </c>
      <c r="E22" t="inlineStr">
        <is>
          <t>2026-03-21T10:13:45.721178+00:00</t>
        </is>
      </c>
      <c r="F22" t="inlineStr">
        <is>
          <t>2026-03-21T10:13:45.740525+00:00</t>
        </is>
      </c>
      <c r="G22" t="n">
        <v>4</v>
      </c>
      <c r="H22" t="n">
        <v>133.31</v>
      </c>
      <c r="I22" t="n">
        <v>1</v>
      </c>
      <c r="J22" t="n">
        <v>1</v>
      </c>
      <c r="K22" t="n">
        <v>0</v>
      </c>
      <c r="M22" t="inlineStr">
        <is>
          <t>partially</t>
        </is>
      </c>
      <c r="N22" t="n">
        <v>2</v>
      </c>
      <c r="Q22" t="inlineStr">
        <is>
          <t>correct</t>
        </is>
      </c>
      <c r="R22" t="inlineStr">
        <is>
          <t>correct</t>
        </is>
      </c>
      <c r="S22" t="inlineStr">
        <is>
          <t>does_not_match</t>
        </is>
      </c>
      <c r="T22" t="inlineStr">
        <is>
          <t>correct</t>
        </is>
      </c>
      <c r="U22">
        <f>IF(T22="correct",1,0)</f>
        <v/>
      </c>
      <c r="V22">
        <f>VLOOKUP(A22,Participants!$A$2:$B$86,2,FALSE)</f>
        <v/>
      </c>
    </row>
    <row r="23">
      <c r="A23" t="inlineStr">
        <is>
          <t>user_0004</t>
        </is>
      </c>
      <c r="B23" t="inlineStr">
        <is>
          <t>S2</t>
        </is>
      </c>
      <c r="C23" t="inlineStr">
        <is>
          <t>C1</t>
        </is>
      </c>
      <c r="D23" t="n">
        <v>3</v>
      </c>
      <c r="E23" t="inlineStr">
        <is>
          <t>2026-03-21T10:21:13.721442+00:00</t>
        </is>
      </c>
      <c r="F23" t="inlineStr">
        <is>
          <t>2026-03-21T10:21:13.743581+00:00</t>
        </is>
      </c>
      <c r="G23" t="n">
        <v>4</v>
      </c>
      <c r="H23" t="n">
        <v>85.55</v>
      </c>
      <c r="I23" t="n">
        <v>1</v>
      </c>
      <c r="J23" t="n">
        <v>1</v>
      </c>
      <c r="K23" t="n">
        <v>1</v>
      </c>
      <c r="M23" t="inlineStr">
        <is>
          <t>partially</t>
        </is>
      </c>
      <c r="N23" t="n">
        <v>4</v>
      </c>
      <c r="Q23" t="inlineStr">
        <is>
          <t>correct</t>
        </is>
      </c>
      <c r="R23" t="inlineStr">
        <is>
          <t>correct</t>
        </is>
      </c>
      <c r="S23" t="inlineStr">
        <is>
          <t>matches_completely</t>
        </is>
      </c>
      <c r="T23" t="inlineStr">
        <is>
          <t>correct</t>
        </is>
      </c>
      <c r="U23">
        <f>IF(T23="correct",1,0)</f>
        <v/>
      </c>
      <c r="V23">
        <f>VLOOKUP(A23,Participants!$A$2:$B$86,2,FALSE)</f>
        <v/>
      </c>
    </row>
    <row r="24">
      <c r="A24" t="inlineStr">
        <is>
          <t>user_0004</t>
        </is>
      </c>
      <c r="B24" t="inlineStr">
        <is>
          <t>M2</t>
        </is>
      </c>
      <c r="C24" t="inlineStr">
        <is>
          <t>C2</t>
        </is>
      </c>
      <c r="D24" t="n">
        <v>4</v>
      </c>
      <c r="E24" t="inlineStr">
        <is>
          <t>2026-03-21T10:25:07.821372+00:00</t>
        </is>
      </c>
      <c r="F24" t="inlineStr">
        <is>
          <t>2026-03-21T10:25:07.840223+00:00</t>
        </is>
      </c>
      <c r="G24" t="n">
        <v>4</v>
      </c>
      <c r="H24" t="n">
        <v>82.38</v>
      </c>
      <c r="I24" t="n">
        <v>1</v>
      </c>
      <c r="J24" t="n">
        <v>1</v>
      </c>
      <c r="K24" t="n">
        <v>1</v>
      </c>
      <c r="M24" t="inlineStr">
        <is>
          <t>matches_completely</t>
        </is>
      </c>
      <c r="N24" t="n">
        <v>4</v>
      </c>
      <c r="Q24" t="inlineStr">
        <is>
          <t>correct</t>
        </is>
      </c>
      <c r="R24" t="inlineStr">
        <is>
          <t>correct</t>
        </is>
      </c>
      <c r="S24" t="inlineStr">
        <is>
          <t>matches_completely</t>
        </is>
      </c>
      <c r="T24" t="inlineStr">
        <is>
          <t>correct</t>
        </is>
      </c>
      <c r="U24">
        <f>IF(T24="correct",1,0)</f>
        <v/>
      </c>
      <c r="V24">
        <f>VLOOKUP(A24,Participants!$A$2:$B$86,2,FALSE)</f>
        <v/>
      </c>
    </row>
    <row r="25">
      <c r="A25" t="inlineStr">
        <is>
          <t>user_0004</t>
        </is>
      </c>
      <c r="B25" t="inlineStr">
        <is>
          <t>C2</t>
        </is>
      </c>
      <c r="C25" t="inlineStr">
        <is>
          <t>C3</t>
        </is>
      </c>
      <c r="D25" t="n">
        <v>5</v>
      </c>
      <c r="E25" t="inlineStr">
        <is>
          <t>2026-03-21T10:29:38.848219+00:00</t>
        </is>
      </c>
      <c r="F25" t="inlineStr">
        <is>
          <t>2026-03-21T10:29:38.896070+00:00</t>
        </is>
      </c>
      <c r="G25" t="n">
        <v>9</v>
      </c>
      <c r="H25" t="n">
        <v>213.3</v>
      </c>
      <c r="I25" t="n">
        <v>1</v>
      </c>
      <c r="J25" t="n">
        <v>1</v>
      </c>
      <c r="K25" t="n">
        <v>1</v>
      </c>
      <c r="M25" t="inlineStr">
        <is>
          <t>matches_completely</t>
        </is>
      </c>
      <c r="N25" t="n">
        <v>4</v>
      </c>
      <c r="Q25" t="inlineStr">
        <is>
          <t>correct</t>
        </is>
      </c>
      <c r="R25" t="inlineStr">
        <is>
          <t>correct</t>
        </is>
      </c>
      <c r="S25" t="inlineStr">
        <is>
          <t>matches_completely</t>
        </is>
      </c>
      <c r="T25" t="inlineStr">
        <is>
          <t>correct</t>
        </is>
      </c>
      <c r="U25">
        <f>IF(T25="correct",1,0)</f>
        <v/>
      </c>
      <c r="V25">
        <f>VLOOKUP(A25,Participants!$A$2:$B$86,2,FALSE)</f>
        <v/>
      </c>
    </row>
    <row r="26">
      <c r="A26" t="inlineStr">
        <is>
          <t>user_0005</t>
        </is>
      </c>
      <c r="B26" t="inlineStr">
        <is>
          <t>S1</t>
        </is>
      </c>
      <c r="C26" t="inlineStr">
        <is>
          <t>C1</t>
        </is>
      </c>
      <c r="D26" t="n">
        <v>0</v>
      </c>
      <c r="E26" t="inlineStr">
        <is>
          <t>2026-03-21T10:04:22.243144+00:00</t>
        </is>
      </c>
      <c r="F26" t="inlineStr">
        <is>
          <t>2026-03-21T10:04:22.264778+00:00</t>
        </is>
      </c>
      <c r="G26" t="n">
        <v>4</v>
      </c>
      <c r="H26" t="n">
        <v>78.64</v>
      </c>
      <c r="I26" t="n">
        <v>1</v>
      </c>
      <c r="J26" t="n">
        <v>1</v>
      </c>
      <c r="K26" t="n">
        <v>1</v>
      </c>
      <c r="M26" t="inlineStr">
        <is>
          <t>partially</t>
        </is>
      </c>
      <c r="N26" t="n">
        <v>5</v>
      </c>
      <c r="Q26" t="inlineStr">
        <is>
          <t>correct</t>
        </is>
      </c>
      <c r="R26" t="inlineStr">
        <is>
          <t>correct</t>
        </is>
      </c>
      <c r="S26" t="inlineStr">
        <is>
          <t>does_not_match</t>
        </is>
      </c>
      <c r="T26" t="inlineStr">
        <is>
          <t>correct</t>
        </is>
      </c>
      <c r="U26">
        <f>IF(T26="correct",1,0)</f>
        <v/>
      </c>
      <c r="V26">
        <f>VLOOKUP(A26,Participants!$A$2:$B$86,2,FALSE)</f>
        <v/>
      </c>
    </row>
    <row r="27">
      <c r="A27" t="inlineStr">
        <is>
          <t>user_0005</t>
        </is>
      </c>
      <c r="B27" t="inlineStr">
        <is>
          <t>M1</t>
        </is>
      </c>
      <c r="C27" t="inlineStr">
        <is>
          <t>C2</t>
        </is>
      </c>
      <c r="D27" t="n">
        <v>1</v>
      </c>
      <c r="E27" t="inlineStr">
        <is>
          <t>2026-03-21T10:10:42.859455+00:00</t>
        </is>
      </c>
      <c r="F27" t="inlineStr">
        <is>
          <t>2026-03-21T10:10:42.883929+00:00</t>
        </is>
      </c>
      <c r="G27" t="n">
        <v>7</v>
      </c>
      <c r="H27" t="n">
        <v>168.94</v>
      </c>
      <c r="I27" t="n">
        <v>2</v>
      </c>
      <c r="J27" t="n">
        <v>1</v>
      </c>
      <c r="K27" t="n">
        <v>1</v>
      </c>
      <c r="M27" t="inlineStr">
        <is>
          <t>matches_completely</t>
        </is>
      </c>
      <c r="N27" t="n">
        <v>3</v>
      </c>
      <c r="Q27" t="inlineStr">
        <is>
          <t>correct</t>
        </is>
      </c>
      <c r="R27" t="inlineStr">
        <is>
          <t>correct</t>
        </is>
      </c>
      <c r="S27" t="inlineStr">
        <is>
          <t>does_not_match</t>
        </is>
      </c>
      <c r="T27" t="inlineStr">
        <is>
          <t>correct</t>
        </is>
      </c>
      <c r="U27">
        <f>IF(T27="correct",1,0)</f>
        <v/>
      </c>
      <c r="V27">
        <f>VLOOKUP(A27,Participants!$A$2:$B$86,2,FALSE)</f>
        <v/>
      </c>
    </row>
    <row r="28">
      <c r="A28" t="inlineStr">
        <is>
          <t>user_0005</t>
        </is>
      </c>
      <c r="B28" t="inlineStr">
        <is>
          <t>C1</t>
        </is>
      </c>
      <c r="C28" t="inlineStr">
        <is>
          <t>C3</t>
        </is>
      </c>
      <c r="D28" t="n">
        <v>2</v>
      </c>
      <c r="E28" t="inlineStr">
        <is>
          <t>2026-03-21T10:13:53.562769+00:00</t>
        </is>
      </c>
      <c r="F28" t="inlineStr">
        <is>
          <t>2026-03-21T10:13:53.617754+00:00</t>
        </is>
      </c>
      <c r="G28" t="n">
        <v>8</v>
      </c>
      <c r="H28" t="n">
        <v>121.86</v>
      </c>
      <c r="I28" t="n">
        <v>1</v>
      </c>
      <c r="J28" t="n">
        <v>1</v>
      </c>
      <c r="K28" t="n">
        <v>1</v>
      </c>
      <c r="M28" t="inlineStr">
        <is>
          <t>partially</t>
        </is>
      </c>
      <c r="N28" t="n">
        <v>5</v>
      </c>
      <c r="Q28" t="inlineStr">
        <is>
          <t>correct</t>
        </is>
      </c>
      <c r="R28" t="inlineStr">
        <is>
          <t>correct</t>
        </is>
      </c>
      <c r="S28" t="inlineStr">
        <is>
          <t>does_not_match</t>
        </is>
      </c>
      <c r="T28" t="inlineStr">
        <is>
          <t>correct</t>
        </is>
      </c>
      <c r="U28">
        <f>IF(T28="correct",1,0)</f>
        <v/>
      </c>
      <c r="V28">
        <f>VLOOKUP(A28,Participants!$A$2:$B$86,2,FALSE)</f>
        <v/>
      </c>
    </row>
    <row r="29">
      <c r="A29" t="inlineStr">
        <is>
          <t>user_0005</t>
        </is>
      </c>
      <c r="B29" t="inlineStr">
        <is>
          <t>S2</t>
        </is>
      </c>
      <c r="C29" t="inlineStr">
        <is>
          <t>C1</t>
        </is>
      </c>
      <c r="D29" t="n">
        <v>3</v>
      </c>
      <c r="E29" t="inlineStr">
        <is>
          <t>2026-03-21T10:20:11.934164+00:00</t>
        </is>
      </c>
      <c r="F29" t="inlineStr">
        <is>
          <t>2026-03-21T10:20:11.953794+00:00</t>
        </is>
      </c>
      <c r="G29" t="n">
        <v>7</v>
      </c>
      <c r="H29" t="n">
        <v>128.77</v>
      </c>
      <c r="I29" t="n">
        <v>2</v>
      </c>
      <c r="J29" t="n">
        <v>1</v>
      </c>
      <c r="K29" t="n">
        <v>1</v>
      </c>
      <c r="M29" t="inlineStr">
        <is>
          <t>matches_completely</t>
        </is>
      </c>
      <c r="N29" t="n">
        <v>5</v>
      </c>
      <c r="Q29" t="inlineStr">
        <is>
          <t>correct</t>
        </is>
      </c>
      <c r="R29" t="inlineStr">
        <is>
          <t>correct</t>
        </is>
      </c>
      <c r="S29" t="inlineStr">
        <is>
          <t>matches_completely</t>
        </is>
      </c>
      <c r="T29" t="inlineStr">
        <is>
          <t>correct</t>
        </is>
      </c>
      <c r="U29">
        <f>IF(T29="correct",1,0)</f>
        <v/>
      </c>
      <c r="V29">
        <f>VLOOKUP(A29,Participants!$A$2:$B$86,2,FALSE)</f>
        <v/>
      </c>
    </row>
    <row r="30">
      <c r="A30" t="inlineStr">
        <is>
          <t>user_0005</t>
        </is>
      </c>
      <c r="B30" t="inlineStr">
        <is>
          <t>M2</t>
        </is>
      </c>
      <c r="C30" t="inlineStr">
        <is>
          <t>C2</t>
        </is>
      </c>
      <c r="D30" t="n">
        <v>4</v>
      </c>
      <c r="E30" t="inlineStr">
        <is>
          <t>2026-03-21T10:24:09.792428+00:00</t>
        </is>
      </c>
      <c r="F30" t="inlineStr">
        <is>
          <t>2026-03-21T10:24:09.819762+00:00</t>
        </is>
      </c>
      <c r="G30" t="n">
        <v>11</v>
      </c>
      <c r="H30" t="n">
        <v>226.16</v>
      </c>
      <c r="I30" t="n">
        <v>3</v>
      </c>
      <c r="J30" t="n">
        <v>1</v>
      </c>
      <c r="K30" t="n">
        <v>1</v>
      </c>
      <c r="M30" t="inlineStr">
        <is>
          <t>partially</t>
        </is>
      </c>
      <c r="N30" t="n">
        <v>4</v>
      </c>
      <c r="Q30" t="inlineStr">
        <is>
          <t>correct</t>
        </is>
      </c>
      <c r="R30" t="inlineStr">
        <is>
          <t>correct</t>
        </is>
      </c>
      <c r="S30" t="inlineStr">
        <is>
          <t>does_not_match</t>
        </is>
      </c>
      <c r="T30" t="inlineStr">
        <is>
          <t>correct</t>
        </is>
      </c>
      <c r="U30">
        <f>IF(T30="correct",1,0)</f>
        <v/>
      </c>
      <c r="V30">
        <f>VLOOKUP(A30,Participants!$A$2:$B$86,2,FALSE)</f>
        <v/>
      </c>
    </row>
    <row r="31">
      <c r="A31" t="inlineStr">
        <is>
          <t>user_0005</t>
        </is>
      </c>
      <c r="B31" t="inlineStr">
        <is>
          <t>C2</t>
        </is>
      </c>
      <c r="C31" t="inlineStr">
        <is>
          <t>C3</t>
        </is>
      </c>
      <c r="D31" t="n">
        <v>5</v>
      </c>
      <c r="E31" t="inlineStr">
        <is>
          <t>2026-03-21T10:29:28.841378+00:00</t>
        </is>
      </c>
      <c r="F31" t="inlineStr">
        <is>
          <t>2026-03-21T10:29:28.866834+00:00</t>
        </is>
      </c>
      <c r="G31" t="n">
        <v>16</v>
      </c>
      <c r="H31" t="n">
        <v>335.95</v>
      </c>
      <c r="I31" t="n">
        <v>3</v>
      </c>
      <c r="J31" t="n">
        <v>1</v>
      </c>
      <c r="K31" t="n">
        <v>1</v>
      </c>
      <c r="M31" t="inlineStr">
        <is>
          <t>matches_completely</t>
        </is>
      </c>
      <c r="N31" t="n">
        <v>5</v>
      </c>
      <c r="Q31" t="inlineStr">
        <is>
          <t>correct</t>
        </is>
      </c>
      <c r="R31" t="inlineStr">
        <is>
          <t>correct</t>
        </is>
      </c>
      <c r="S31" t="inlineStr">
        <is>
          <t>matches_completely</t>
        </is>
      </c>
      <c r="T31" t="inlineStr">
        <is>
          <t>correct</t>
        </is>
      </c>
      <c r="U31">
        <f>IF(T31="correct",1,0)</f>
        <v/>
      </c>
      <c r="V31">
        <f>VLOOKUP(A31,Participants!$A$2:$B$86,2,FALSE)</f>
        <v/>
      </c>
    </row>
    <row r="32">
      <c r="A32" t="inlineStr">
        <is>
          <t>user_0006</t>
        </is>
      </c>
      <c r="B32" t="inlineStr">
        <is>
          <t>S1</t>
        </is>
      </c>
      <c r="C32" t="inlineStr">
        <is>
          <t>C1</t>
        </is>
      </c>
      <c r="D32" t="n">
        <v>0</v>
      </c>
      <c r="E32" t="inlineStr">
        <is>
          <t>2026-03-21T10:03:41.806435+00:00</t>
        </is>
      </c>
      <c r="F32" t="inlineStr">
        <is>
          <t>2026-03-21T10:03:41.829065+00:00</t>
        </is>
      </c>
      <c r="G32" t="n">
        <v>11</v>
      </c>
      <c r="H32" t="n">
        <v>51.33</v>
      </c>
      <c r="I32" t="n">
        <v>3</v>
      </c>
      <c r="J32" t="n">
        <v>1</v>
      </c>
      <c r="K32" t="n">
        <v>1</v>
      </c>
      <c r="M32" t="inlineStr">
        <is>
          <t>partially</t>
        </is>
      </c>
      <c r="N32" t="n">
        <v>3</v>
      </c>
      <c r="Q32" t="inlineStr">
        <is>
          <t>correct</t>
        </is>
      </c>
      <c r="R32" t="inlineStr">
        <is>
          <t>correct</t>
        </is>
      </c>
      <c r="S32" t="inlineStr">
        <is>
          <t>does_not_match</t>
        </is>
      </c>
      <c r="T32" t="inlineStr">
        <is>
          <t>correct</t>
        </is>
      </c>
      <c r="U32">
        <f>IF(T32="correct",1,0)</f>
        <v/>
      </c>
      <c r="V32">
        <f>VLOOKUP(A32,Participants!$A$2:$B$86,2,FALSE)</f>
        <v/>
      </c>
    </row>
    <row r="33">
      <c r="A33" t="inlineStr">
        <is>
          <t>user_0006</t>
        </is>
      </c>
      <c r="B33" t="inlineStr">
        <is>
          <t>M1</t>
        </is>
      </c>
      <c r="C33" t="inlineStr">
        <is>
          <t>C2</t>
        </is>
      </c>
      <c r="D33" t="n">
        <v>1</v>
      </c>
      <c r="E33" t="inlineStr">
        <is>
          <t>2026-03-21T10:07:50.435148+00:00</t>
        </is>
      </c>
      <c r="F33" t="inlineStr">
        <is>
          <t>2026-03-21T10:07:50.453133+00:00</t>
        </is>
      </c>
      <c r="G33" t="n">
        <v>11</v>
      </c>
      <c r="H33" t="n">
        <v>80.67</v>
      </c>
      <c r="I33" t="n">
        <v>3</v>
      </c>
      <c r="J33" t="n">
        <v>1</v>
      </c>
      <c r="K33" t="n">
        <v>0</v>
      </c>
      <c r="M33" t="inlineStr">
        <is>
          <t>matches_completely</t>
        </is>
      </c>
      <c r="N33" t="n">
        <v>3</v>
      </c>
      <c r="Q33" t="inlineStr">
        <is>
          <t>correct</t>
        </is>
      </c>
      <c r="R33" t="inlineStr">
        <is>
          <t>correct</t>
        </is>
      </c>
      <c r="S33" t="inlineStr">
        <is>
          <t>partially</t>
        </is>
      </c>
      <c r="T33" t="inlineStr">
        <is>
          <t>correct</t>
        </is>
      </c>
      <c r="U33">
        <f>IF(T33="correct",1,0)</f>
        <v/>
      </c>
      <c r="V33">
        <f>VLOOKUP(A33,Participants!$A$2:$B$86,2,FALSE)</f>
        <v/>
      </c>
    </row>
    <row r="34">
      <c r="A34" t="inlineStr">
        <is>
          <t>user_0006</t>
        </is>
      </c>
      <c r="B34" t="inlineStr">
        <is>
          <t>C1</t>
        </is>
      </c>
      <c r="C34" t="inlineStr">
        <is>
          <t>C3</t>
        </is>
      </c>
      <c r="D34" t="n">
        <v>2</v>
      </c>
      <c r="E34" t="inlineStr">
        <is>
          <t>2026-03-21T10:13:29.044327+00:00</t>
        </is>
      </c>
      <c r="F34" t="inlineStr">
        <is>
          <t>2026-03-21T10:13:29.065709+00:00</t>
        </is>
      </c>
      <c r="G34" t="n">
        <v>10</v>
      </c>
      <c r="H34" t="n">
        <v>191.58</v>
      </c>
      <c r="I34" t="n">
        <v>2</v>
      </c>
      <c r="J34" t="n">
        <v>1</v>
      </c>
      <c r="K34" t="n">
        <v>1</v>
      </c>
      <c r="M34" t="inlineStr">
        <is>
          <t>matches_completely</t>
        </is>
      </c>
      <c r="N34" t="n">
        <v>3</v>
      </c>
      <c r="Q34" t="inlineStr">
        <is>
          <t>correct</t>
        </is>
      </c>
      <c r="R34" t="inlineStr">
        <is>
          <t>correct</t>
        </is>
      </c>
      <c r="S34" t="inlineStr">
        <is>
          <t>partially</t>
        </is>
      </c>
      <c r="T34" t="inlineStr">
        <is>
          <t>correct</t>
        </is>
      </c>
      <c r="U34">
        <f>IF(T34="correct",1,0)</f>
        <v/>
      </c>
      <c r="V34">
        <f>VLOOKUP(A34,Participants!$A$2:$B$86,2,FALSE)</f>
        <v/>
      </c>
    </row>
    <row r="35">
      <c r="A35" t="inlineStr">
        <is>
          <t>user_0006</t>
        </is>
      </c>
      <c r="B35" t="inlineStr">
        <is>
          <t>S2</t>
        </is>
      </c>
      <c r="C35" t="inlineStr">
        <is>
          <t>C1</t>
        </is>
      </c>
      <c r="D35" t="n">
        <v>3</v>
      </c>
      <c r="E35" t="inlineStr">
        <is>
          <t>2026-03-21T10:19:44.172342+00:00</t>
        </is>
      </c>
      <c r="F35" t="inlineStr">
        <is>
          <t>2026-03-21T10:19:44.309663+00:00</t>
        </is>
      </c>
      <c r="G35" t="n">
        <v>7</v>
      </c>
      <c r="H35" t="n">
        <v>141.53</v>
      </c>
      <c r="I35" t="n">
        <v>2</v>
      </c>
      <c r="J35" t="n">
        <v>1</v>
      </c>
      <c r="K35" t="n">
        <v>1</v>
      </c>
      <c r="M35" t="inlineStr">
        <is>
          <t>matches_completely</t>
        </is>
      </c>
      <c r="N35" t="n">
        <v>3</v>
      </c>
      <c r="Q35" t="inlineStr">
        <is>
          <t>correct</t>
        </is>
      </c>
      <c r="R35" t="inlineStr">
        <is>
          <t>correct</t>
        </is>
      </c>
      <c r="S35" t="inlineStr">
        <is>
          <t>matches_completely</t>
        </is>
      </c>
      <c r="T35" t="inlineStr">
        <is>
          <t>correct</t>
        </is>
      </c>
      <c r="U35">
        <f>IF(T35="correct",1,0)</f>
        <v/>
      </c>
      <c r="V35">
        <f>VLOOKUP(A35,Participants!$A$2:$B$86,2,FALSE)</f>
        <v/>
      </c>
    </row>
    <row r="36">
      <c r="A36" t="inlineStr">
        <is>
          <t>user_0006</t>
        </is>
      </c>
      <c r="B36" t="inlineStr">
        <is>
          <t>M2</t>
        </is>
      </c>
      <c r="C36" t="inlineStr">
        <is>
          <t>C2</t>
        </is>
      </c>
      <c r="D36" t="n">
        <v>4</v>
      </c>
      <c r="E36" t="inlineStr">
        <is>
          <t>2026-03-21T10:22:21.522721+00:00</t>
        </is>
      </c>
      <c r="F36" t="inlineStr">
        <is>
          <t>2026-03-21T10:22:21.544537+00:00</t>
        </is>
      </c>
      <c r="G36" t="n">
        <v>7</v>
      </c>
      <c r="H36" t="n">
        <v>98.61</v>
      </c>
      <c r="I36" t="n">
        <v>2</v>
      </c>
      <c r="J36" t="n">
        <v>1</v>
      </c>
      <c r="K36" t="n">
        <v>1</v>
      </c>
      <c r="M36" t="inlineStr">
        <is>
          <t>matches_completely</t>
        </is>
      </c>
      <c r="N36" t="n">
        <v>3</v>
      </c>
      <c r="Q36" t="inlineStr">
        <is>
          <t>correct</t>
        </is>
      </c>
      <c r="R36" t="inlineStr">
        <is>
          <t>correct</t>
        </is>
      </c>
      <c r="S36" t="inlineStr">
        <is>
          <t>partially</t>
        </is>
      </c>
      <c r="T36" t="inlineStr">
        <is>
          <t>correct</t>
        </is>
      </c>
      <c r="U36">
        <f>IF(T36="correct",1,0)</f>
        <v/>
      </c>
      <c r="V36">
        <f>VLOOKUP(A36,Participants!$A$2:$B$86,2,FALSE)</f>
        <v/>
      </c>
    </row>
    <row r="37">
      <c r="A37" t="inlineStr">
        <is>
          <t>user_0006</t>
        </is>
      </c>
      <c r="B37" t="inlineStr">
        <is>
          <t>C2</t>
        </is>
      </c>
      <c r="C37" t="inlineStr">
        <is>
          <t>C3</t>
        </is>
      </c>
      <c r="D37" t="n">
        <v>5</v>
      </c>
      <c r="E37" t="inlineStr">
        <is>
          <t>2026-03-21T10:31:39.907865+00:00</t>
        </is>
      </c>
      <c r="F37" t="inlineStr">
        <is>
          <t>2026-03-21T10:31:39.975897+00:00</t>
        </is>
      </c>
      <c r="G37" t="n">
        <v>32</v>
      </c>
      <c r="H37" t="n">
        <v>561.3</v>
      </c>
      <c r="I37" t="n">
        <v>1</v>
      </c>
      <c r="J37" t="n">
        <v>1</v>
      </c>
      <c r="K37" t="n">
        <v>1</v>
      </c>
      <c r="M37" t="inlineStr">
        <is>
          <t>matches_completely</t>
        </is>
      </c>
      <c r="N37" t="n">
        <v>3</v>
      </c>
      <c r="Q37" t="inlineStr">
        <is>
          <t>correct</t>
        </is>
      </c>
      <c r="R37" t="inlineStr">
        <is>
          <t>correct</t>
        </is>
      </c>
      <c r="S37" t="inlineStr">
        <is>
          <t>matches_completely</t>
        </is>
      </c>
      <c r="T37" t="inlineStr">
        <is>
          <t>correct</t>
        </is>
      </c>
      <c r="U37">
        <f>IF(T37="correct",1,0)</f>
        <v/>
      </c>
      <c r="V37">
        <f>VLOOKUP(A37,Participants!$A$2:$B$86,2,FALSE)</f>
        <v/>
      </c>
    </row>
    <row r="38">
      <c r="A38" t="inlineStr">
        <is>
          <t>user_0007</t>
        </is>
      </c>
      <c r="B38" t="inlineStr">
        <is>
          <t>S1</t>
        </is>
      </c>
      <c r="C38" t="inlineStr">
        <is>
          <t>C1</t>
        </is>
      </c>
      <c r="D38" t="n">
        <v>0</v>
      </c>
      <c r="E38" t="inlineStr">
        <is>
          <t>2026-03-21T10:05:53.192099+00:00</t>
        </is>
      </c>
      <c r="F38" t="inlineStr">
        <is>
          <t>2026-03-21T10:05:53.210586+00:00</t>
        </is>
      </c>
      <c r="G38" t="n">
        <v>11</v>
      </c>
      <c r="H38" t="n">
        <v>189.56</v>
      </c>
      <c r="I38" t="n">
        <v>3</v>
      </c>
      <c r="J38" t="n">
        <v>1</v>
      </c>
      <c r="K38" t="n">
        <v>0</v>
      </c>
      <c r="M38" t="inlineStr">
        <is>
          <t>matches_completely</t>
        </is>
      </c>
      <c r="N38" t="n">
        <v>2</v>
      </c>
      <c r="Q38" t="inlineStr">
        <is>
          <t>correct</t>
        </is>
      </c>
      <c r="R38" t="inlineStr">
        <is>
          <t>correct</t>
        </is>
      </c>
      <c r="S38" t="inlineStr">
        <is>
          <t>does_not_match</t>
        </is>
      </c>
      <c r="T38" t="inlineStr">
        <is>
          <t>correct</t>
        </is>
      </c>
      <c r="U38">
        <f>IF(T38="correct",1,0)</f>
        <v/>
      </c>
      <c r="V38">
        <f>VLOOKUP(A38,Participants!$A$2:$B$86,2,FALSE)</f>
        <v/>
      </c>
    </row>
    <row r="39">
      <c r="A39" t="inlineStr">
        <is>
          <t>user_0007</t>
        </is>
      </c>
      <c r="B39" t="inlineStr">
        <is>
          <t>M1</t>
        </is>
      </c>
      <c r="C39" t="inlineStr">
        <is>
          <t>C2</t>
        </is>
      </c>
      <c r="D39" t="n">
        <v>1</v>
      </c>
      <c r="E39" t="inlineStr">
        <is>
          <t>2026-03-21T10:09:42.015773+00:00</t>
        </is>
      </c>
      <c r="F39" t="inlineStr">
        <is>
          <t>2026-03-21T10:09:42.032983+00:00</t>
        </is>
      </c>
      <c r="G39" t="n">
        <v>12</v>
      </c>
      <c r="H39" t="n">
        <v>104.89</v>
      </c>
      <c r="I39" t="n">
        <v>3</v>
      </c>
      <c r="J39" t="n">
        <v>1</v>
      </c>
      <c r="K39" t="n">
        <v>1</v>
      </c>
      <c r="M39" t="inlineStr">
        <is>
          <t>partially</t>
        </is>
      </c>
      <c r="N39" t="n">
        <v>3</v>
      </c>
      <c r="Q39" t="inlineStr">
        <is>
          <t>correct</t>
        </is>
      </c>
      <c r="R39" t="inlineStr">
        <is>
          <t>correct</t>
        </is>
      </c>
      <c r="S39" t="inlineStr">
        <is>
          <t>matches_completely</t>
        </is>
      </c>
      <c r="T39" t="inlineStr">
        <is>
          <t>correct</t>
        </is>
      </c>
      <c r="U39">
        <f>IF(T39="correct",1,0)</f>
        <v/>
      </c>
      <c r="V39">
        <f>VLOOKUP(A39,Participants!$A$2:$B$86,2,FALSE)</f>
        <v/>
      </c>
    </row>
    <row r="40">
      <c r="A40" t="inlineStr">
        <is>
          <t>user_0007</t>
        </is>
      </c>
      <c r="B40" t="inlineStr">
        <is>
          <t>C1</t>
        </is>
      </c>
      <c r="C40" t="inlineStr">
        <is>
          <t>C3</t>
        </is>
      </c>
      <c r="D40" t="n">
        <v>2</v>
      </c>
      <c r="E40" t="inlineStr">
        <is>
          <t>2026-03-21T10:11:19.092637+00:00</t>
        </is>
      </c>
      <c r="F40" t="inlineStr">
        <is>
          <t>2026-03-21T10:11:19.110694+00:00</t>
        </is>
      </c>
      <c r="G40" t="n">
        <v>4</v>
      </c>
      <c r="H40" t="n">
        <v>94.47</v>
      </c>
      <c r="I40" t="n">
        <v>1</v>
      </c>
      <c r="J40" t="n">
        <v>1</v>
      </c>
      <c r="K40" t="n">
        <v>1</v>
      </c>
      <c r="M40" t="inlineStr">
        <is>
          <t>matches_completely</t>
        </is>
      </c>
      <c r="N40" t="n">
        <v>5</v>
      </c>
      <c r="Q40" t="inlineStr">
        <is>
          <t>correct</t>
        </is>
      </c>
      <c r="R40" t="inlineStr">
        <is>
          <t>correct</t>
        </is>
      </c>
      <c r="S40" t="inlineStr">
        <is>
          <t>does_not_match</t>
        </is>
      </c>
      <c r="T40" t="inlineStr">
        <is>
          <t>correct</t>
        </is>
      </c>
      <c r="U40">
        <f>IF(T40="correct",1,0)</f>
        <v/>
      </c>
      <c r="V40">
        <f>VLOOKUP(A40,Participants!$A$2:$B$86,2,FALSE)</f>
        <v/>
      </c>
    </row>
    <row r="41">
      <c r="A41" t="inlineStr">
        <is>
          <t>user_0007</t>
        </is>
      </c>
      <c r="B41" t="inlineStr">
        <is>
          <t>S2</t>
        </is>
      </c>
      <c r="C41" t="inlineStr">
        <is>
          <t>C1</t>
        </is>
      </c>
      <c r="D41" t="n">
        <v>3</v>
      </c>
      <c r="E41" t="inlineStr">
        <is>
          <t>2026-03-21T10:18:40.371976+00:00</t>
        </is>
      </c>
      <c r="F41" t="inlineStr">
        <is>
          <t>2026-03-21T10:18:40.391287+00:00</t>
        </is>
      </c>
      <c r="G41" t="n">
        <v>4</v>
      </c>
      <c r="H41" t="n">
        <v>85.81</v>
      </c>
      <c r="I41" t="n">
        <v>1</v>
      </c>
      <c r="J41" t="n">
        <v>1</v>
      </c>
      <c r="K41" t="n">
        <v>1</v>
      </c>
      <c r="M41" t="inlineStr">
        <is>
          <t>matches_completely</t>
        </is>
      </c>
      <c r="N41" t="n">
        <v>5</v>
      </c>
      <c r="Q41" t="inlineStr">
        <is>
          <t>correct</t>
        </is>
      </c>
      <c r="R41" t="inlineStr">
        <is>
          <t>correct</t>
        </is>
      </c>
      <c r="S41" t="inlineStr">
        <is>
          <t>matches_completely</t>
        </is>
      </c>
      <c r="T41" t="inlineStr">
        <is>
          <t>correct</t>
        </is>
      </c>
      <c r="U41">
        <f>IF(T41="correct",1,0)</f>
        <v/>
      </c>
      <c r="V41">
        <f>VLOOKUP(A41,Participants!$A$2:$B$86,2,FALSE)</f>
        <v/>
      </c>
    </row>
    <row r="42">
      <c r="A42" t="inlineStr">
        <is>
          <t>user_0007</t>
        </is>
      </c>
      <c r="B42" t="inlineStr">
        <is>
          <t>M2</t>
        </is>
      </c>
      <c r="C42" t="inlineStr">
        <is>
          <t>C2</t>
        </is>
      </c>
      <c r="D42" t="n">
        <v>4</v>
      </c>
      <c r="E42" t="inlineStr">
        <is>
          <t>2026-03-21T10:19:56.445719+00:00</t>
        </is>
      </c>
      <c r="F42" t="inlineStr">
        <is>
          <t>2026-03-21T10:19:56.467750+00:00</t>
        </is>
      </c>
      <c r="G42" t="n">
        <v>4</v>
      </c>
      <c r="H42" t="n">
        <v>108.83</v>
      </c>
      <c r="I42" t="n">
        <v>1</v>
      </c>
      <c r="J42" t="n">
        <v>1</v>
      </c>
      <c r="K42" t="n">
        <v>1</v>
      </c>
      <c r="M42" t="inlineStr">
        <is>
          <t>matches_completely</t>
        </is>
      </c>
      <c r="N42" t="n">
        <v>5</v>
      </c>
      <c r="Q42" t="inlineStr">
        <is>
          <t>correct</t>
        </is>
      </c>
      <c r="R42" t="inlineStr">
        <is>
          <t>correct</t>
        </is>
      </c>
      <c r="S42" t="inlineStr">
        <is>
          <t>partially</t>
        </is>
      </c>
      <c r="T42" t="inlineStr">
        <is>
          <t>correct</t>
        </is>
      </c>
      <c r="U42">
        <f>IF(T42="correct",1,0)</f>
        <v/>
      </c>
      <c r="V42">
        <f>VLOOKUP(A42,Participants!$A$2:$B$86,2,FALSE)</f>
        <v/>
      </c>
    </row>
    <row r="43">
      <c r="A43" t="inlineStr">
        <is>
          <t>user_0007</t>
        </is>
      </c>
      <c r="B43" t="inlineStr">
        <is>
          <t>C2</t>
        </is>
      </c>
      <c r="C43" t="inlineStr">
        <is>
          <t>C3</t>
        </is>
      </c>
      <c r="D43" t="n">
        <v>5</v>
      </c>
      <c r="E43" t="inlineStr">
        <is>
          <t>2026-03-21T10:21:57.005944+00:00</t>
        </is>
      </c>
      <c r="F43" t="inlineStr">
        <is>
          <t>2026-03-21T10:21:57.021375+00:00</t>
        </is>
      </c>
      <c r="G43" t="n">
        <v>4</v>
      </c>
      <c r="H43" t="n">
        <v>144.69</v>
      </c>
      <c r="I43" t="n">
        <v>1</v>
      </c>
      <c r="J43" t="n">
        <v>1</v>
      </c>
      <c r="K43" t="n">
        <v>1</v>
      </c>
      <c r="M43" t="inlineStr">
        <is>
          <t>matches_completely</t>
        </is>
      </c>
      <c r="N43" t="n">
        <v>5</v>
      </c>
      <c r="Q43" t="inlineStr">
        <is>
          <t>correct</t>
        </is>
      </c>
      <c r="R43" t="inlineStr">
        <is>
          <t>correct</t>
        </is>
      </c>
      <c r="S43" t="inlineStr">
        <is>
          <t>matches_completely</t>
        </is>
      </c>
      <c r="T43" t="inlineStr">
        <is>
          <t>correct</t>
        </is>
      </c>
      <c r="U43">
        <f>IF(T43="correct",1,0)</f>
        <v/>
      </c>
      <c r="V43">
        <f>VLOOKUP(A43,Participants!$A$2:$B$86,2,FALSE)</f>
        <v/>
      </c>
    </row>
    <row r="44">
      <c r="A44" t="inlineStr">
        <is>
          <t>user_0008</t>
        </is>
      </c>
      <c r="B44" t="inlineStr">
        <is>
          <t>S1</t>
        </is>
      </c>
      <c r="C44" t="inlineStr">
        <is>
          <t>C1</t>
        </is>
      </c>
      <c r="D44" t="n">
        <v>0</v>
      </c>
      <c r="E44" t="inlineStr">
        <is>
          <t>2026-03-21T10:08:45.627613+00:00</t>
        </is>
      </c>
      <c r="F44" t="inlineStr">
        <is>
          <t>2026-03-21T10:08:45.765497+00:00</t>
        </is>
      </c>
      <c r="G44" t="n">
        <v>12</v>
      </c>
      <c r="H44" t="n">
        <v>293.38</v>
      </c>
      <c r="I44" t="n">
        <v>3</v>
      </c>
      <c r="J44" t="n">
        <v>1</v>
      </c>
      <c r="K44" t="n">
        <v>1</v>
      </c>
      <c r="M44" t="inlineStr">
        <is>
          <t>matches_completely</t>
        </is>
      </c>
      <c r="N44" t="n">
        <v>3</v>
      </c>
      <c r="Q44" t="inlineStr">
        <is>
          <t>correct</t>
        </is>
      </c>
      <c r="R44" t="inlineStr">
        <is>
          <t>correct</t>
        </is>
      </c>
      <c r="S44" t="inlineStr">
        <is>
          <t>matches_completely</t>
        </is>
      </c>
      <c r="T44" t="inlineStr">
        <is>
          <t>correct</t>
        </is>
      </c>
      <c r="U44">
        <f>IF(T44="correct",1,0)</f>
        <v/>
      </c>
      <c r="V44">
        <f>VLOOKUP(A44,Participants!$A$2:$B$86,2,FALSE)</f>
        <v/>
      </c>
    </row>
    <row r="45">
      <c r="A45" t="inlineStr">
        <is>
          <t>user_0008</t>
        </is>
      </c>
      <c r="B45" t="inlineStr">
        <is>
          <t>M1</t>
        </is>
      </c>
      <c r="C45" t="inlineStr">
        <is>
          <t>C2</t>
        </is>
      </c>
      <c r="D45" t="n">
        <v>1</v>
      </c>
      <c r="E45" t="inlineStr">
        <is>
          <t>2026-03-21T10:11:46.357900+00:00</t>
        </is>
      </c>
      <c r="F45" t="inlineStr">
        <is>
          <t>2026-03-21T10:11:46.375799+00:00</t>
        </is>
      </c>
      <c r="G45" t="n">
        <v>12</v>
      </c>
      <c r="H45" t="n">
        <v>20</v>
      </c>
      <c r="I45" t="n">
        <v>3</v>
      </c>
      <c r="J45" t="n">
        <v>1</v>
      </c>
      <c r="K45" t="n">
        <v>1</v>
      </c>
      <c r="M45" t="inlineStr">
        <is>
          <t>matches_completely</t>
        </is>
      </c>
      <c r="N45" t="n">
        <v>3</v>
      </c>
      <c r="Q45" t="inlineStr">
        <is>
          <t>correct</t>
        </is>
      </c>
      <c r="R45" t="inlineStr">
        <is>
          <t>correct</t>
        </is>
      </c>
      <c r="S45" t="inlineStr">
        <is>
          <t>matches_completely</t>
        </is>
      </c>
      <c r="T45" t="inlineStr">
        <is>
          <t>correct</t>
        </is>
      </c>
      <c r="U45">
        <f>IF(T45="correct",1,0)</f>
        <v/>
      </c>
      <c r="V45">
        <f>VLOOKUP(A45,Participants!$A$2:$B$86,2,FALSE)</f>
        <v/>
      </c>
    </row>
    <row r="46">
      <c r="A46" t="inlineStr">
        <is>
          <t>user_0008</t>
        </is>
      </c>
      <c r="B46" t="inlineStr">
        <is>
          <t>C1</t>
        </is>
      </c>
      <c r="C46" t="inlineStr">
        <is>
          <t>C3</t>
        </is>
      </c>
      <c r="D46" t="n">
        <v>2</v>
      </c>
      <c r="E46" t="inlineStr">
        <is>
          <t>2026-03-21T10:14:24.349853+00:00</t>
        </is>
      </c>
      <c r="F46" t="inlineStr">
        <is>
          <t>2026-03-21T10:14:24.437083+00:00</t>
        </is>
      </c>
      <c r="G46" t="n">
        <v>10</v>
      </c>
      <c r="H46" t="n">
        <v>108.16</v>
      </c>
      <c r="I46" t="n">
        <v>3</v>
      </c>
      <c r="J46" t="n">
        <v>1</v>
      </c>
      <c r="K46" t="n">
        <v>1</v>
      </c>
      <c r="M46" t="inlineStr">
        <is>
          <t>matches_completely</t>
        </is>
      </c>
      <c r="N46" t="n">
        <v>3</v>
      </c>
      <c r="Q46" t="inlineStr">
        <is>
          <t>correct</t>
        </is>
      </c>
      <c r="R46" t="inlineStr">
        <is>
          <t>correct</t>
        </is>
      </c>
      <c r="S46" t="inlineStr">
        <is>
          <t>partially</t>
        </is>
      </c>
      <c r="T46" t="inlineStr">
        <is>
          <t>correct</t>
        </is>
      </c>
      <c r="U46">
        <f>IF(T46="correct",1,0)</f>
        <v/>
      </c>
      <c r="V46">
        <f>VLOOKUP(A46,Participants!$A$2:$B$86,2,FALSE)</f>
        <v/>
      </c>
    </row>
    <row r="47">
      <c r="A47" t="inlineStr">
        <is>
          <t>user_0008</t>
        </is>
      </c>
      <c r="B47" t="inlineStr">
        <is>
          <t>S2</t>
        </is>
      </c>
      <c r="C47" t="inlineStr">
        <is>
          <t>C1</t>
        </is>
      </c>
      <c r="D47" t="n">
        <v>3</v>
      </c>
      <c r="E47" t="inlineStr">
        <is>
          <t>2026-03-21T10:18:54.936011+00:00</t>
        </is>
      </c>
      <c r="F47" t="inlineStr">
        <is>
          <t>2026-03-21T10:18:54.953979+00:00</t>
        </is>
      </c>
      <c r="G47" t="n">
        <v>4</v>
      </c>
      <c r="H47" t="n">
        <v>114.83</v>
      </c>
      <c r="I47" t="n">
        <v>1</v>
      </c>
      <c r="J47" t="n">
        <v>1</v>
      </c>
      <c r="K47" t="n">
        <v>1</v>
      </c>
      <c r="M47" t="inlineStr">
        <is>
          <t>matches_completely</t>
        </is>
      </c>
      <c r="N47" t="n">
        <v>3</v>
      </c>
      <c r="Q47" t="inlineStr">
        <is>
          <t>correct</t>
        </is>
      </c>
      <c r="R47" t="inlineStr">
        <is>
          <t>correct</t>
        </is>
      </c>
      <c r="S47" t="inlineStr">
        <is>
          <t>matches_completely</t>
        </is>
      </c>
      <c r="T47" t="inlineStr">
        <is>
          <t>correct</t>
        </is>
      </c>
      <c r="U47">
        <f>IF(T47="correct",1,0)</f>
        <v/>
      </c>
      <c r="V47">
        <f>VLOOKUP(A47,Participants!$A$2:$B$86,2,FALSE)</f>
        <v/>
      </c>
    </row>
    <row r="48">
      <c r="A48" t="inlineStr">
        <is>
          <t>user_0008</t>
        </is>
      </c>
      <c r="B48" t="inlineStr">
        <is>
          <t>M2</t>
        </is>
      </c>
      <c r="C48" t="inlineStr">
        <is>
          <t>C2</t>
        </is>
      </c>
      <c r="D48" t="n">
        <v>4</v>
      </c>
      <c r="E48" t="inlineStr">
        <is>
          <t>2026-03-21T10:21:52.807516+00:00</t>
        </is>
      </c>
      <c r="F48" t="inlineStr">
        <is>
          <t>2026-03-21T10:21:52.827239+00:00</t>
        </is>
      </c>
      <c r="G48" t="n">
        <v>4</v>
      </c>
      <c r="H48" t="n">
        <v>80.28</v>
      </c>
      <c r="I48" t="n">
        <v>1</v>
      </c>
      <c r="J48" t="n">
        <v>1</v>
      </c>
      <c r="K48" t="n">
        <v>1</v>
      </c>
      <c r="M48" t="inlineStr">
        <is>
          <t>matches_completely</t>
        </is>
      </c>
      <c r="N48" t="n">
        <v>3</v>
      </c>
      <c r="Q48" t="inlineStr">
        <is>
          <t>correct</t>
        </is>
      </c>
      <c r="R48" t="inlineStr">
        <is>
          <t>correct</t>
        </is>
      </c>
      <c r="S48" t="inlineStr">
        <is>
          <t>partially</t>
        </is>
      </c>
      <c r="T48" t="inlineStr">
        <is>
          <t>correct</t>
        </is>
      </c>
      <c r="U48">
        <f>IF(T48="correct",1,0)</f>
        <v/>
      </c>
      <c r="V48">
        <f>VLOOKUP(A48,Participants!$A$2:$B$86,2,FALSE)</f>
        <v/>
      </c>
    </row>
    <row r="49">
      <c r="A49" t="inlineStr">
        <is>
          <t>user_0008</t>
        </is>
      </c>
      <c r="B49" t="inlineStr">
        <is>
          <t>C2</t>
        </is>
      </c>
      <c r="C49" t="inlineStr">
        <is>
          <t>C3</t>
        </is>
      </c>
      <c r="D49" t="n">
        <v>5</v>
      </c>
      <c r="E49" t="inlineStr">
        <is>
          <t>2026-03-21T10:24:53.524622+00:00</t>
        </is>
      </c>
      <c r="F49" t="inlineStr">
        <is>
          <t>2026-03-21T10:24:53.541234+00:00</t>
        </is>
      </c>
      <c r="G49" t="n">
        <v>4</v>
      </c>
      <c r="H49" t="n">
        <v>68.09</v>
      </c>
      <c r="I49" t="n">
        <v>1</v>
      </c>
      <c r="J49" t="n">
        <v>1</v>
      </c>
      <c r="K49" t="n">
        <v>0</v>
      </c>
      <c r="M49" t="inlineStr">
        <is>
          <t>matches_completely</t>
        </is>
      </c>
      <c r="N49" t="n">
        <v>3</v>
      </c>
      <c r="Q49" t="inlineStr">
        <is>
          <t>correct</t>
        </is>
      </c>
      <c r="R49" t="inlineStr">
        <is>
          <t>correct</t>
        </is>
      </c>
      <c r="S49" t="inlineStr">
        <is>
          <t>matches_completely</t>
        </is>
      </c>
      <c r="T49" t="inlineStr">
        <is>
          <t>correct</t>
        </is>
      </c>
      <c r="U49">
        <f>IF(T49="correct",1,0)</f>
        <v/>
      </c>
      <c r="V49">
        <f>VLOOKUP(A49,Participants!$A$2:$B$86,2,FALSE)</f>
        <v/>
      </c>
    </row>
    <row r="50">
      <c r="A50" t="inlineStr">
        <is>
          <t>user_0009</t>
        </is>
      </c>
      <c r="B50" t="inlineStr">
        <is>
          <t>S1</t>
        </is>
      </c>
      <c r="C50" t="inlineStr">
        <is>
          <t>C1</t>
        </is>
      </c>
      <c r="D50" t="n">
        <v>0</v>
      </c>
      <c r="E50" t="inlineStr">
        <is>
          <t>2026-03-21T10:05:35.994453+00:00</t>
        </is>
      </c>
      <c r="F50" t="inlineStr">
        <is>
          <t>2026-03-21T10:05:36.012834+00:00</t>
        </is>
      </c>
      <c r="G50" t="n">
        <v>7</v>
      </c>
      <c r="H50" t="n">
        <v>55.22</v>
      </c>
      <c r="I50" t="n">
        <v>2</v>
      </c>
      <c r="J50" t="n">
        <v>1</v>
      </c>
      <c r="K50" t="n">
        <v>1</v>
      </c>
      <c r="M50" t="inlineStr">
        <is>
          <t>partially</t>
        </is>
      </c>
      <c r="N50" t="n">
        <v>5</v>
      </c>
      <c r="Q50" t="inlineStr">
        <is>
          <t>correct</t>
        </is>
      </c>
      <c r="R50" t="inlineStr">
        <is>
          <t>correct</t>
        </is>
      </c>
      <c r="T50" t="inlineStr">
        <is>
          <t>correct</t>
        </is>
      </c>
      <c r="U50">
        <f>IF(T50="correct",1,0)</f>
        <v/>
      </c>
      <c r="V50">
        <f>VLOOKUP(A50,Participants!$A$2:$B$86,2,FALSE)</f>
        <v/>
      </c>
    </row>
    <row r="51">
      <c r="A51" t="inlineStr">
        <is>
          <t>user_0009</t>
        </is>
      </c>
      <c r="B51" t="inlineStr">
        <is>
          <t>M1</t>
        </is>
      </c>
      <c r="C51" t="inlineStr">
        <is>
          <t>C2</t>
        </is>
      </c>
      <c r="D51" t="n">
        <v>1</v>
      </c>
      <c r="E51" t="inlineStr">
        <is>
          <t>2026-03-21T10:10:28.654919+00:00</t>
        </is>
      </c>
      <c r="F51" t="inlineStr">
        <is>
          <t>2026-03-21T10:10:28.681730+00:00</t>
        </is>
      </c>
      <c r="G51" t="n">
        <v>12</v>
      </c>
      <c r="H51" t="n">
        <v>61.11</v>
      </c>
      <c r="I51" t="n">
        <v>2</v>
      </c>
      <c r="J51" t="n">
        <v>1</v>
      </c>
      <c r="K51" t="n">
        <v>1</v>
      </c>
      <c r="M51" t="inlineStr">
        <is>
          <t>partially</t>
        </is>
      </c>
      <c r="N51" t="n">
        <v>4</v>
      </c>
      <c r="Q51" t="inlineStr">
        <is>
          <t>correct</t>
        </is>
      </c>
      <c r="R51" t="inlineStr">
        <is>
          <t>correct</t>
        </is>
      </c>
      <c r="T51" t="inlineStr">
        <is>
          <t>correct</t>
        </is>
      </c>
      <c r="U51">
        <f>IF(T51="correct",1,0)</f>
        <v/>
      </c>
      <c r="V51">
        <f>VLOOKUP(A51,Participants!$A$2:$B$86,2,FALSE)</f>
        <v/>
      </c>
    </row>
    <row r="52">
      <c r="A52" t="inlineStr">
        <is>
          <t>user_0009</t>
        </is>
      </c>
      <c r="B52" t="inlineStr">
        <is>
          <t>C1</t>
        </is>
      </c>
      <c r="C52" t="inlineStr">
        <is>
          <t>C3</t>
        </is>
      </c>
      <c r="D52" t="n">
        <v>2</v>
      </c>
      <c r="E52" t="inlineStr">
        <is>
          <t>2026-03-21T10:14:15.898192+00:00</t>
        </is>
      </c>
      <c r="F52" t="inlineStr">
        <is>
          <t>2026-03-21T10:14:15.916821+00:00</t>
        </is>
      </c>
      <c r="G52" t="n">
        <v>7</v>
      </c>
      <c r="H52" t="n">
        <v>196.97</v>
      </c>
      <c r="I52" t="n">
        <v>2</v>
      </c>
      <c r="J52" t="n">
        <v>1</v>
      </c>
      <c r="K52" t="n">
        <v>1</v>
      </c>
      <c r="M52" t="inlineStr">
        <is>
          <t>partially</t>
        </is>
      </c>
      <c r="N52" t="n">
        <v>5</v>
      </c>
      <c r="Q52" t="inlineStr">
        <is>
          <t>correct</t>
        </is>
      </c>
      <c r="R52" t="inlineStr">
        <is>
          <t>correct</t>
        </is>
      </c>
      <c r="T52" t="inlineStr">
        <is>
          <t>correct</t>
        </is>
      </c>
      <c r="U52">
        <f>IF(T52="correct",1,0)</f>
        <v/>
      </c>
      <c r="V52">
        <f>VLOOKUP(A52,Participants!$A$2:$B$86,2,FALSE)</f>
        <v/>
      </c>
    </row>
    <row r="53">
      <c r="A53" t="inlineStr">
        <is>
          <t>user_0009</t>
        </is>
      </c>
      <c r="B53" t="inlineStr">
        <is>
          <t>S2</t>
        </is>
      </c>
      <c r="C53" t="inlineStr">
        <is>
          <t>C1</t>
        </is>
      </c>
      <c r="D53" t="n">
        <v>3</v>
      </c>
      <c r="E53" t="inlineStr">
        <is>
          <t>2026-03-21T10:20:14.628663+00:00</t>
        </is>
      </c>
      <c r="F53" t="inlineStr">
        <is>
          <t>2026-03-21T10:20:14.649350+00:00</t>
        </is>
      </c>
      <c r="G53" t="n">
        <v>4</v>
      </c>
      <c r="H53" t="n">
        <v>118.7</v>
      </c>
      <c r="I53" t="n">
        <v>1</v>
      </c>
      <c r="J53" t="n">
        <v>1</v>
      </c>
      <c r="K53" t="n">
        <v>1</v>
      </c>
      <c r="M53" t="inlineStr">
        <is>
          <t>matches_completely</t>
        </is>
      </c>
      <c r="N53" t="n">
        <v>5</v>
      </c>
      <c r="Q53" t="inlineStr">
        <is>
          <t>correct</t>
        </is>
      </c>
      <c r="R53" t="inlineStr">
        <is>
          <t>correct</t>
        </is>
      </c>
      <c r="T53" t="inlineStr">
        <is>
          <t>correct</t>
        </is>
      </c>
      <c r="U53">
        <f>IF(T53="correct",1,0)</f>
        <v/>
      </c>
      <c r="V53">
        <f>VLOOKUP(A53,Participants!$A$2:$B$86,2,FALSE)</f>
        <v/>
      </c>
    </row>
    <row r="54">
      <c r="A54" t="inlineStr">
        <is>
          <t>user_0009</t>
        </is>
      </c>
      <c r="B54" t="inlineStr">
        <is>
          <t>M2</t>
        </is>
      </c>
      <c r="C54" t="inlineStr">
        <is>
          <t>C2</t>
        </is>
      </c>
      <c r="D54" t="n">
        <v>4</v>
      </c>
      <c r="E54" t="inlineStr">
        <is>
          <t>2026-03-21T10:21:53.378159+00:00</t>
        </is>
      </c>
      <c r="F54" t="inlineStr">
        <is>
          <t>2026-03-21T10:21:53.403437+00:00</t>
        </is>
      </c>
      <c r="G54" t="n">
        <v>4</v>
      </c>
      <c r="H54" t="n">
        <v>106.08</v>
      </c>
      <c r="I54" t="n">
        <v>1</v>
      </c>
      <c r="J54" t="n">
        <v>1</v>
      </c>
      <c r="K54" t="n">
        <v>1</v>
      </c>
      <c r="M54" t="inlineStr">
        <is>
          <t>partially</t>
        </is>
      </c>
      <c r="N54" t="n">
        <v>4</v>
      </c>
      <c r="Q54" t="inlineStr">
        <is>
          <t>correct</t>
        </is>
      </c>
      <c r="R54" t="inlineStr">
        <is>
          <t>correct</t>
        </is>
      </c>
      <c r="T54" t="inlineStr">
        <is>
          <t>correct</t>
        </is>
      </c>
      <c r="U54">
        <f>IF(T54="correct",1,0)</f>
        <v/>
      </c>
      <c r="V54">
        <f>VLOOKUP(A54,Participants!$A$2:$B$86,2,FALSE)</f>
        <v/>
      </c>
    </row>
    <row r="55">
      <c r="A55" t="inlineStr">
        <is>
          <t>user_0009</t>
        </is>
      </c>
      <c r="B55" t="inlineStr">
        <is>
          <t>C2</t>
        </is>
      </c>
      <c r="C55" t="inlineStr">
        <is>
          <t>C3</t>
        </is>
      </c>
      <c r="D55" t="n">
        <v>5</v>
      </c>
      <c r="E55" t="inlineStr">
        <is>
          <t>2026-03-21T10:27:00.311975+00:00</t>
        </is>
      </c>
      <c r="F55" t="inlineStr">
        <is>
          <t>2026-03-21T10:27:00.332777+00:00</t>
        </is>
      </c>
      <c r="G55" t="n">
        <v>4</v>
      </c>
      <c r="H55" t="n">
        <v>181.42</v>
      </c>
      <c r="I55" t="n">
        <v>1</v>
      </c>
      <c r="J55" t="n">
        <v>1</v>
      </c>
      <c r="K55" t="n">
        <v>1</v>
      </c>
      <c r="M55" t="inlineStr">
        <is>
          <t>partially</t>
        </is>
      </c>
      <c r="N55" t="n">
        <v>4</v>
      </c>
      <c r="Q55" t="inlineStr">
        <is>
          <t>correct</t>
        </is>
      </c>
      <c r="R55" t="inlineStr">
        <is>
          <t>correct</t>
        </is>
      </c>
      <c r="T55" t="inlineStr">
        <is>
          <t>correct</t>
        </is>
      </c>
      <c r="U55">
        <f>IF(T55="correct",1,0)</f>
        <v/>
      </c>
      <c r="V55">
        <f>VLOOKUP(A55,Participants!$A$2:$B$86,2,FALSE)</f>
        <v/>
      </c>
    </row>
    <row r="56">
      <c r="A56" t="inlineStr">
        <is>
          <t>user_0010</t>
        </is>
      </c>
      <c r="B56" t="inlineStr">
        <is>
          <t>S1</t>
        </is>
      </c>
      <c r="C56" t="inlineStr">
        <is>
          <t>C1</t>
        </is>
      </c>
      <c r="D56" t="n">
        <v>0</v>
      </c>
      <c r="E56" t="inlineStr">
        <is>
          <t>2026-03-21T10:05:03.006480+00:00</t>
        </is>
      </c>
      <c r="F56" t="inlineStr">
        <is>
          <t>2026-03-21T10:05:03.029907+00:00</t>
        </is>
      </c>
      <c r="G56" t="n">
        <v>10</v>
      </c>
      <c r="H56" t="n">
        <v>88.56</v>
      </c>
      <c r="I56" t="n">
        <v>3</v>
      </c>
      <c r="J56" t="n">
        <v>1</v>
      </c>
      <c r="K56" t="n">
        <v>1</v>
      </c>
      <c r="M56" t="inlineStr">
        <is>
          <t>partially</t>
        </is>
      </c>
      <c r="N56" t="n">
        <v>4</v>
      </c>
      <c r="Q56" t="inlineStr">
        <is>
          <t>correct</t>
        </is>
      </c>
      <c r="R56" t="inlineStr">
        <is>
          <t>correct</t>
        </is>
      </c>
      <c r="S56" t="inlineStr">
        <is>
          <t>matches_completely</t>
        </is>
      </c>
      <c r="T56" t="inlineStr">
        <is>
          <t>correct</t>
        </is>
      </c>
      <c r="U56">
        <f>IF(T56="correct",1,0)</f>
        <v/>
      </c>
      <c r="V56">
        <f>VLOOKUP(A56,Participants!$A$2:$B$86,2,FALSE)</f>
        <v/>
      </c>
    </row>
    <row r="57">
      <c r="A57" t="inlineStr">
        <is>
          <t>user_0010</t>
        </is>
      </c>
      <c r="B57" t="inlineStr">
        <is>
          <t>M1</t>
        </is>
      </c>
      <c r="C57" t="inlineStr">
        <is>
          <t>C2</t>
        </is>
      </c>
      <c r="D57" t="n">
        <v>1</v>
      </c>
      <c r="E57" t="inlineStr">
        <is>
          <t>2026-03-21T10:08:44.431850+00:00</t>
        </is>
      </c>
      <c r="F57" t="inlineStr">
        <is>
          <t>2026-03-21T10:08:44.452312+00:00</t>
        </is>
      </c>
      <c r="G57" t="n">
        <v>7</v>
      </c>
      <c r="H57" t="n">
        <v>41.62</v>
      </c>
      <c r="I57" t="n">
        <v>2</v>
      </c>
      <c r="J57" t="n">
        <v>1</v>
      </c>
      <c r="K57" t="n">
        <v>1</v>
      </c>
      <c r="M57" t="inlineStr">
        <is>
          <t>matches_completely</t>
        </is>
      </c>
      <c r="N57" t="n">
        <v>5</v>
      </c>
      <c r="Q57" t="inlineStr">
        <is>
          <t>correct</t>
        </is>
      </c>
      <c r="R57" t="inlineStr">
        <is>
          <t>correct</t>
        </is>
      </c>
      <c r="S57" t="inlineStr">
        <is>
          <t>matches_completely</t>
        </is>
      </c>
      <c r="T57" t="inlineStr">
        <is>
          <t>correct</t>
        </is>
      </c>
      <c r="U57">
        <f>IF(T57="correct",1,0)</f>
        <v/>
      </c>
      <c r="V57">
        <f>VLOOKUP(A57,Participants!$A$2:$B$86,2,FALSE)</f>
        <v/>
      </c>
    </row>
    <row r="58">
      <c r="A58" t="inlineStr">
        <is>
          <t>user_0010</t>
        </is>
      </c>
      <c r="B58" t="inlineStr">
        <is>
          <t>C1</t>
        </is>
      </c>
      <c r="C58" t="inlineStr">
        <is>
          <t>C3</t>
        </is>
      </c>
      <c r="D58" t="n">
        <v>2</v>
      </c>
      <c r="E58" t="inlineStr">
        <is>
          <t>2026-03-21T10:11:13.331837+00:00</t>
        </is>
      </c>
      <c r="F58" t="inlineStr">
        <is>
          <t>2026-03-21T10:11:13.347470+00:00</t>
        </is>
      </c>
      <c r="G58" t="n">
        <v>7</v>
      </c>
      <c r="H58" t="n">
        <v>149.05</v>
      </c>
      <c r="I58" t="n">
        <v>2</v>
      </c>
      <c r="J58" t="n">
        <v>1</v>
      </c>
      <c r="K58" t="n">
        <v>1</v>
      </c>
      <c r="M58" t="inlineStr">
        <is>
          <t>matches_completely</t>
        </is>
      </c>
      <c r="N58" t="n">
        <v>5</v>
      </c>
      <c r="Q58" t="inlineStr">
        <is>
          <t>correct</t>
        </is>
      </c>
      <c r="R58" t="inlineStr">
        <is>
          <t>correct</t>
        </is>
      </c>
      <c r="S58" t="inlineStr">
        <is>
          <t>matches_completely</t>
        </is>
      </c>
      <c r="T58" t="inlineStr">
        <is>
          <t>correct</t>
        </is>
      </c>
      <c r="U58">
        <f>IF(T58="correct",1,0)</f>
        <v/>
      </c>
      <c r="V58">
        <f>VLOOKUP(A58,Participants!$A$2:$B$86,2,FALSE)</f>
        <v/>
      </c>
    </row>
    <row r="59">
      <c r="A59" t="inlineStr">
        <is>
          <t>user_0010</t>
        </is>
      </c>
      <c r="B59" t="inlineStr">
        <is>
          <t>S2</t>
        </is>
      </c>
      <c r="C59" t="inlineStr">
        <is>
          <t>C1</t>
        </is>
      </c>
      <c r="D59" t="n">
        <v>3</v>
      </c>
      <c r="E59" t="inlineStr">
        <is>
          <t>2026-03-21T10:15:55.626848+00:00</t>
        </is>
      </c>
      <c r="F59" t="inlineStr">
        <is>
          <t>2026-03-21T10:15:55.644442+00:00</t>
        </is>
      </c>
      <c r="G59" t="n">
        <v>10</v>
      </c>
      <c r="H59" t="n">
        <v>219.64</v>
      </c>
      <c r="I59" t="n">
        <v>3</v>
      </c>
      <c r="J59" t="n">
        <v>1</v>
      </c>
      <c r="K59" t="n">
        <v>1</v>
      </c>
      <c r="M59" t="inlineStr">
        <is>
          <t>matches_completely</t>
        </is>
      </c>
      <c r="N59" t="n">
        <v>5</v>
      </c>
      <c r="Q59" t="inlineStr">
        <is>
          <t>correct</t>
        </is>
      </c>
      <c r="R59" t="inlineStr">
        <is>
          <t>correct</t>
        </is>
      </c>
      <c r="S59" t="inlineStr">
        <is>
          <t>matches_completely</t>
        </is>
      </c>
      <c r="T59" t="inlineStr">
        <is>
          <t>correct</t>
        </is>
      </c>
      <c r="U59">
        <f>IF(T59="correct",1,0)</f>
        <v/>
      </c>
      <c r="V59">
        <f>VLOOKUP(A59,Participants!$A$2:$B$86,2,FALSE)</f>
        <v/>
      </c>
    </row>
    <row r="60">
      <c r="A60" t="inlineStr">
        <is>
          <t>user_0010</t>
        </is>
      </c>
      <c r="B60" t="inlineStr">
        <is>
          <t>M2</t>
        </is>
      </c>
      <c r="C60" t="inlineStr">
        <is>
          <t>C2</t>
        </is>
      </c>
      <c r="D60" t="n">
        <v>4</v>
      </c>
      <c r="E60" t="inlineStr">
        <is>
          <t>2026-03-21T10:17:04.162943+00:00</t>
        </is>
      </c>
      <c r="F60" t="inlineStr">
        <is>
          <t>2026-03-21T10:17:04.183456+00:00</t>
        </is>
      </c>
      <c r="G60" t="n">
        <v>7</v>
      </c>
      <c r="H60" t="n">
        <v>101.23</v>
      </c>
      <c r="I60" t="n">
        <v>2</v>
      </c>
      <c r="J60" t="n">
        <v>1</v>
      </c>
      <c r="K60" t="n">
        <v>1</v>
      </c>
      <c r="M60" t="inlineStr">
        <is>
          <t>matches_completely</t>
        </is>
      </c>
      <c r="N60" t="n">
        <v>5</v>
      </c>
      <c r="Q60" t="inlineStr">
        <is>
          <t>correct</t>
        </is>
      </c>
      <c r="R60" t="inlineStr">
        <is>
          <t>correct</t>
        </is>
      </c>
      <c r="S60" t="inlineStr">
        <is>
          <t>does_not_match</t>
        </is>
      </c>
      <c r="T60" t="inlineStr">
        <is>
          <t>correct</t>
        </is>
      </c>
      <c r="U60">
        <f>IF(T60="correct",1,0)</f>
        <v/>
      </c>
      <c r="V60">
        <f>VLOOKUP(A60,Participants!$A$2:$B$86,2,FALSE)</f>
        <v/>
      </c>
    </row>
    <row r="61">
      <c r="A61" t="inlineStr">
        <is>
          <t>user_0010</t>
        </is>
      </c>
      <c r="B61" t="inlineStr">
        <is>
          <t>C2</t>
        </is>
      </c>
      <c r="C61" t="inlineStr">
        <is>
          <t>C3</t>
        </is>
      </c>
      <c r="D61" t="n">
        <v>5</v>
      </c>
      <c r="E61" t="inlineStr">
        <is>
          <t>2026-03-21T10:19:57.959919+00:00</t>
        </is>
      </c>
      <c r="F61" t="inlineStr">
        <is>
          <t>2026-03-21T10:19:57.980753+00:00</t>
        </is>
      </c>
      <c r="G61" t="n">
        <v>4</v>
      </c>
      <c r="H61" t="n">
        <v>197.38</v>
      </c>
      <c r="I61" t="n">
        <v>1</v>
      </c>
      <c r="J61" t="n">
        <v>1</v>
      </c>
      <c r="K61" t="n">
        <v>1</v>
      </c>
      <c r="M61" t="inlineStr">
        <is>
          <t>matches_completely</t>
        </is>
      </c>
      <c r="N61" t="n">
        <v>3</v>
      </c>
      <c r="Q61" t="inlineStr">
        <is>
          <t>correct</t>
        </is>
      </c>
      <c r="R61" t="inlineStr">
        <is>
          <t>correct</t>
        </is>
      </c>
      <c r="S61" t="inlineStr">
        <is>
          <t>matches_completely</t>
        </is>
      </c>
      <c r="T61" t="inlineStr">
        <is>
          <t>correct</t>
        </is>
      </c>
      <c r="U61">
        <f>IF(T61="correct",1,0)</f>
        <v/>
      </c>
      <c r="V61">
        <f>VLOOKUP(A61,Participants!$A$2:$B$86,2,FALSE)</f>
        <v/>
      </c>
    </row>
    <row r="62">
      <c r="A62" t="inlineStr">
        <is>
          <t>user_0011</t>
        </is>
      </c>
      <c r="B62" t="inlineStr">
        <is>
          <t>S1</t>
        </is>
      </c>
      <c r="C62" t="inlineStr">
        <is>
          <t>C1</t>
        </is>
      </c>
      <c r="D62" t="n">
        <v>0</v>
      </c>
      <c r="E62" t="inlineStr">
        <is>
          <t>2026-03-21T10:07:38.768049+00:00</t>
        </is>
      </c>
      <c r="F62" t="inlineStr">
        <is>
          <t>2026-03-21T10:07:38.786029+00:00</t>
        </is>
      </c>
      <c r="G62" t="n">
        <v>9</v>
      </c>
      <c r="H62" t="n">
        <v>290.95</v>
      </c>
      <c r="I62" t="n">
        <v>3</v>
      </c>
      <c r="J62" t="n">
        <v>1</v>
      </c>
      <c r="K62" t="n">
        <v>1</v>
      </c>
      <c r="M62" t="inlineStr">
        <is>
          <t>matches_completely</t>
        </is>
      </c>
      <c r="N62" t="n">
        <v>4</v>
      </c>
      <c r="Q62" t="inlineStr">
        <is>
          <t>correct</t>
        </is>
      </c>
      <c r="R62" t="inlineStr">
        <is>
          <t>correct</t>
        </is>
      </c>
      <c r="S62" t="inlineStr">
        <is>
          <t>matches_completely</t>
        </is>
      </c>
      <c r="T62" t="inlineStr">
        <is>
          <t>correct</t>
        </is>
      </c>
      <c r="U62">
        <f>IF(T62="correct",1,0)</f>
        <v/>
      </c>
      <c r="V62">
        <f>VLOOKUP(A62,Participants!$A$2:$B$86,2,FALSE)</f>
        <v/>
      </c>
    </row>
    <row r="63">
      <c r="A63" t="inlineStr">
        <is>
          <t>user_0011</t>
        </is>
      </c>
      <c r="B63" t="inlineStr">
        <is>
          <t>M1</t>
        </is>
      </c>
      <c r="C63" t="inlineStr">
        <is>
          <t>C2</t>
        </is>
      </c>
      <c r="D63" t="n">
        <v>1</v>
      </c>
      <c r="E63" t="inlineStr">
        <is>
          <t>2026-03-21T10:12:52.368991+00:00</t>
        </is>
      </c>
      <c r="F63" t="inlineStr">
        <is>
          <t>2026-03-21T10:12:52.385558+00:00</t>
        </is>
      </c>
      <c r="G63" t="n">
        <v>13</v>
      </c>
      <c r="H63" t="n">
        <v>115.02</v>
      </c>
      <c r="I63" t="n">
        <v>3</v>
      </c>
      <c r="J63" t="n">
        <v>1</v>
      </c>
      <c r="K63" t="n">
        <v>1</v>
      </c>
      <c r="M63" t="inlineStr">
        <is>
          <t>partially</t>
        </is>
      </c>
      <c r="N63" t="n">
        <v>4</v>
      </c>
      <c r="Q63" t="inlineStr">
        <is>
          <t>correct</t>
        </is>
      </c>
      <c r="R63" t="inlineStr">
        <is>
          <t>correct</t>
        </is>
      </c>
      <c r="S63" t="inlineStr">
        <is>
          <t>matches_completely</t>
        </is>
      </c>
      <c r="T63" t="inlineStr">
        <is>
          <t>correct</t>
        </is>
      </c>
      <c r="U63">
        <f>IF(T63="correct",1,0)</f>
        <v/>
      </c>
      <c r="V63">
        <f>VLOOKUP(A63,Participants!$A$2:$B$86,2,FALSE)</f>
        <v/>
      </c>
    </row>
    <row r="64">
      <c r="A64" t="inlineStr">
        <is>
          <t>user_0011</t>
        </is>
      </c>
      <c r="B64" t="inlineStr">
        <is>
          <t>C1</t>
        </is>
      </c>
      <c r="C64" t="inlineStr">
        <is>
          <t>C3</t>
        </is>
      </c>
      <c r="D64" t="n">
        <v>2</v>
      </c>
      <c r="E64" t="inlineStr">
        <is>
          <t>2026-03-21T10:17:53.735421+00:00</t>
        </is>
      </c>
      <c r="F64" t="inlineStr">
        <is>
          <t>2026-03-21T10:17:53.755078+00:00</t>
        </is>
      </c>
      <c r="G64" t="n">
        <v>9</v>
      </c>
      <c r="H64" t="n">
        <v>280.25</v>
      </c>
      <c r="I64" t="n">
        <v>2</v>
      </c>
      <c r="J64" t="n">
        <v>1</v>
      </c>
      <c r="K64" t="n">
        <v>1</v>
      </c>
      <c r="M64" t="inlineStr">
        <is>
          <t>matches_completely</t>
        </is>
      </c>
      <c r="N64" t="n">
        <v>4</v>
      </c>
      <c r="Q64" t="inlineStr">
        <is>
          <t>correct</t>
        </is>
      </c>
      <c r="R64" t="inlineStr">
        <is>
          <t>correct</t>
        </is>
      </c>
      <c r="S64" t="inlineStr">
        <is>
          <t>matches_completely</t>
        </is>
      </c>
      <c r="T64" t="inlineStr">
        <is>
          <t>correct</t>
        </is>
      </c>
      <c r="U64">
        <f>IF(T64="correct",1,0)</f>
        <v/>
      </c>
      <c r="V64">
        <f>VLOOKUP(A64,Participants!$A$2:$B$86,2,FALSE)</f>
        <v/>
      </c>
    </row>
    <row r="65">
      <c r="A65" t="inlineStr">
        <is>
          <t>user_0011</t>
        </is>
      </c>
      <c r="B65" t="inlineStr">
        <is>
          <t>S2</t>
        </is>
      </c>
      <c r="C65" t="inlineStr">
        <is>
          <t>C1</t>
        </is>
      </c>
      <c r="D65" t="n">
        <v>3</v>
      </c>
      <c r="E65" t="inlineStr">
        <is>
          <t>2026-03-21T10:25:02.804953+00:00</t>
        </is>
      </c>
      <c r="F65" t="inlineStr">
        <is>
          <t>2026-03-21T10:25:02.831414+00:00</t>
        </is>
      </c>
      <c r="G65" t="n">
        <v>9</v>
      </c>
      <c r="H65" t="n">
        <v>162.94</v>
      </c>
      <c r="I65" t="n">
        <v>2</v>
      </c>
      <c r="J65" t="n">
        <v>1</v>
      </c>
      <c r="K65" t="n">
        <v>1</v>
      </c>
      <c r="M65" t="inlineStr">
        <is>
          <t>matches_completely</t>
        </is>
      </c>
      <c r="N65" t="n">
        <v>5</v>
      </c>
      <c r="Q65" t="inlineStr">
        <is>
          <t>correct</t>
        </is>
      </c>
      <c r="R65" t="inlineStr">
        <is>
          <t>correct</t>
        </is>
      </c>
      <c r="S65" t="inlineStr">
        <is>
          <t>does_not_match</t>
        </is>
      </c>
      <c r="T65" t="inlineStr">
        <is>
          <t>correct</t>
        </is>
      </c>
      <c r="U65">
        <f>IF(T65="correct",1,0)</f>
        <v/>
      </c>
      <c r="V65">
        <f>VLOOKUP(A65,Participants!$A$2:$B$86,2,FALSE)</f>
        <v/>
      </c>
    </row>
    <row r="66">
      <c r="A66" t="inlineStr">
        <is>
          <t>user_0011</t>
        </is>
      </c>
      <c r="B66" t="inlineStr">
        <is>
          <t>M2</t>
        </is>
      </c>
      <c r="C66" t="inlineStr">
        <is>
          <t>C2</t>
        </is>
      </c>
      <c r="D66" t="n">
        <v>4</v>
      </c>
      <c r="E66" t="inlineStr">
        <is>
          <t>2026-03-21T10:27:55.347454+00:00</t>
        </is>
      </c>
      <c r="F66" t="inlineStr">
        <is>
          <t>2026-03-21T10:27:55.365683+00:00</t>
        </is>
      </c>
      <c r="G66" t="n">
        <v>7</v>
      </c>
      <c r="H66" t="n">
        <v>129.78</v>
      </c>
      <c r="I66" t="n">
        <v>2</v>
      </c>
      <c r="J66" t="n">
        <v>1</v>
      </c>
      <c r="K66" t="n">
        <v>1</v>
      </c>
      <c r="M66" t="inlineStr">
        <is>
          <t>partially</t>
        </is>
      </c>
      <c r="N66" t="n">
        <v>4</v>
      </c>
      <c r="Q66" t="inlineStr">
        <is>
          <t>correct</t>
        </is>
      </c>
      <c r="R66" t="inlineStr">
        <is>
          <t>correct</t>
        </is>
      </c>
      <c r="S66" t="inlineStr">
        <is>
          <t>partially</t>
        </is>
      </c>
      <c r="T66" t="inlineStr">
        <is>
          <t>correct</t>
        </is>
      </c>
      <c r="U66">
        <f>IF(T66="correct",1,0)</f>
        <v/>
      </c>
      <c r="V66">
        <f>VLOOKUP(A66,Participants!$A$2:$B$86,2,FALSE)</f>
        <v/>
      </c>
    </row>
    <row r="67">
      <c r="A67" t="inlineStr">
        <is>
          <t>user_0011</t>
        </is>
      </c>
      <c r="B67" t="inlineStr">
        <is>
          <t>C2</t>
        </is>
      </c>
      <c r="C67" t="inlineStr">
        <is>
          <t>C3</t>
        </is>
      </c>
      <c r="D67" t="n">
        <v>5</v>
      </c>
      <c r="E67" t="inlineStr">
        <is>
          <t>2026-03-21T10:31:23.722664+00:00</t>
        </is>
      </c>
      <c r="F67" t="inlineStr">
        <is>
          <t>2026-03-21T10:31:23.741069+00:00</t>
        </is>
      </c>
      <c r="G67" t="n">
        <v>10</v>
      </c>
      <c r="H67" t="n">
        <v>204.56</v>
      </c>
      <c r="I67" t="n">
        <v>3</v>
      </c>
      <c r="J67" t="n">
        <v>1</v>
      </c>
      <c r="K67" t="n">
        <v>0</v>
      </c>
      <c r="M67" t="inlineStr">
        <is>
          <t>partially</t>
        </is>
      </c>
      <c r="N67" t="n">
        <v>3</v>
      </c>
      <c r="Q67" t="inlineStr">
        <is>
          <t>correct</t>
        </is>
      </c>
      <c r="R67" t="inlineStr">
        <is>
          <t>correct</t>
        </is>
      </c>
      <c r="S67" t="inlineStr">
        <is>
          <t>matches_completely</t>
        </is>
      </c>
      <c r="T67" t="inlineStr">
        <is>
          <t>correct</t>
        </is>
      </c>
      <c r="U67">
        <f>IF(T67="correct",1,0)</f>
        <v/>
      </c>
      <c r="V67">
        <f>VLOOKUP(A67,Participants!$A$2:$B$86,2,FALSE)</f>
        <v/>
      </c>
    </row>
    <row r="68">
      <c r="A68" t="inlineStr">
        <is>
          <t>user_0013</t>
        </is>
      </c>
      <c r="B68" t="inlineStr">
        <is>
          <t>S1</t>
        </is>
      </c>
      <c r="C68" t="inlineStr">
        <is>
          <t>C1</t>
        </is>
      </c>
      <c r="D68" t="n">
        <v>0</v>
      </c>
      <c r="E68" t="inlineStr">
        <is>
          <t>2026-03-21T10:13:52.681926+00:00</t>
        </is>
      </c>
      <c r="F68" t="inlineStr">
        <is>
          <t>2026-03-21T10:13:52.698895+00:00</t>
        </is>
      </c>
      <c r="G68" t="n">
        <v>4</v>
      </c>
      <c r="H68" t="n">
        <v>20</v>
      </c>
      <c r="I68" t="n">
        <v>1</v>
      </c>
      <c r="J68" t="n">
        <v>1</v>
      </c>
      <c r="K68" t="n">
        <v>1</v>
      </c>
      <c r="M68" t="inlineStr">
        <is>
          <t>partially</t>
        </is>
      </c>
      <c r="N68" t="n">
        <v>3</v>
      </c>
      <c r="Q68" t="inlineStr">
        <is>
          <t>correct</t>
        </is>
      </c>
      <c r="R68" t="inlineStr">
        <is>
          <t>correct</t>
        </is>
      </c>
      <c r="S68" t="inlineStr">
        <is>
          <t>does_not_match</t>
        </is>
      </c>
      <c r="T68" t="inlineStr">
        <is>
          <t>correct</t>
        </is>
      </c>
      <c r="U68">
        <f>IF(T68="correct",1,0)</f>
        <v/>
      </c>
      <c r="V68">
        <f>VLOOKUP(A68,Participants!$A$2:$B$86,2,FALSE)</f>
        <v/>
      </c>
    </row>
    <row r="69">
      <c r="A69" t="inlineStr">
        <is>
          <t>user_0013</t>
        </is>
      </c>
      <c r="B69" t="inlineStr">
        <is>
          <t>M1</t>
        </is>
      </c>
      <c r="C69" t="inlineStr">
        <is>
          <t>C2</t>
        </is>
      </c>
      <c r="D69" t="n">
        <v>1</v>
      </c>
      <c r="E69" t="inlineStr">
        <is>
          <t>2026-03-21T10:17:37.480903+00:00</t>
        </is>
      </c>
      <c r="F69" t="inlineStr">
        <is>
          <t>2026-03-21T10:17:37.498214+00:00</t>
        </is>
      </c>
      <c r="G69" t="n">
        <v>4</v>
      </c>
      <c r="H69" t="n">
        <v>20</v>
      </c>
      <c r="I69" t="n">
        <v>1</v>
      </c>
      <c r="J69" t="n">
        <v>1</v>
      </c>
      <c r="K69" t="n">
        <v>0</v>
      </c>
      <c r="M69" t="inlineStr">
        <is>
          <t>partially</t>
        </is>
      </c>
      <c r="N69" t="n">
        <v>3</v>
      </c>
      <c r="Q69" t="inlineStr">
        <is>
          <t>correct</t>
        </is>
      </c>
      <c r="R69" t="inlineStr">
        <is>
          <t>correct</t>
        </is>
      </c>
      <c r="S69" t="inlineStr">
        <is>
          <t>matches_completely</t>
        </is>
      </c>
      <c r="T69" t="inlineStr">
        <is>
          <t>correct</t>
        </is>
      </c>
      <c r="U69">
        <f>IF(T69="correct",1,0)</f>
        <v/>
      </c>
      <c r="V69">
        <f>VLOOKUP(A69,Participants!$A$2:$B$86,2,FALSE)</f>
        <v/>
      </c>
    </row>
    <row r="70">
      <c r="A70" t="inlineStr">
        <is>
          <t>user_0013</t>
        </is>
      </c>
      <c r="B70" t="inlineStr">
        <is>
          <t>C1</t>
        </is>
      </c>
      <c r="C70" t="inlineStr">
        <is>
          <t>C3</t>
        </is>
      </c>
      <c r="D70" t="n">
        <v>2</v>
      </c>
      <c r="E70" t="inlineStr">
        <is>
          <t>2026-03-21T10:18:45.805864+00:00</t>
        </is>
      </c>
      <c r="F70" t="inlineStr">
        <is>
          <t>2026-03-21T10:18:45.828482+00:00</t>
        </is>
      </c>
      <c r="G70" t="n">
        <v>4</v>
      </c>
      <c r="H70" t="n">
        <v>32.31</v>
      </c>
      <c r="I70" t="n">
        <v>1</v>
      </c>
      <c r="J70" t="n">
        <v>1</v>
      </c>
      <c r="K70" t="n">
        <v>1</v>
      </c>
      <c r="M70" t="inlineStr">
        <is>
          <t>matches_completely</t>
        </is>
      </c>
      <c r="N70" t="n">
        <v>5</v>
      </c>
      <c r="Q70" t="inlineStr">
        <is>
          <t>correct</t>
        </is>
      </c>
      <c r="R70" t="inlineStr">
        <is>
          <t>correct</t>
        </is>
      </c>
      <c r="S70" t="inlineStr">
        <is>
          <t>matches_completely</t>
        </is>
      </c>
      <c r="T70" t="inlineStr">
        <is>
          <t>correct</t>
        </is>
      </c>
      <c r="U70">
        <f>IF(T70="correct",1,0)</f>
        <v/>
      </c>
      <c r="V70">
        <f>VLOOKUP(A70,Participants!$A$2:$B$86,2,FALSE)</f>
        <v/>
      </c>
    </row>
    <row r="71">
      <c r="A71" t="inlineStr">
        <is>
          <t>user_0013</t>
        </is>
      </c>
      <c r="B71" t="inlineStr">
        <is>
          <t>S2</t>
        </is>
      </c>
      <c r="C71" t="inlineStr">
        <is>
          <t>C1</t>
        </is>
      </c>
      <c r="D71" t="n">
        <v>3</v>
      </c>
      <c r="E71" t="inlineStr">
        <is>
          <t>2026-03-21T10:21:17.164204+00:00</t>
        </is>
      </c>
      <c r="F71" t="inlineStr">
        <is>
          <t>2026-03-21T10:21:17.316270+00:00</t>
        </is>
      </c>
      <c r="G71" t="n">
        <v>4</v>
      </c>
      <c r="H71" t="n">
        <v>64.47</v>
      </c>
      <c r="I71" t="n">
        <v>1</v>
      </c>
      <c r="J71" t="n">
        <v>1</v>
      </c>
      <c r="K71" t="n">
        <v>1</v>
      </c>
      <c r="M71" t="inlineStr">
        <is>
          <t>matches_completely</t>
        </is>
      </c>
      <c r="N71" t="n">
        <v>4</v>
      </c>
      <c r="Q71" t="inlineStr">
        <is>
          <t>correct</t>
        </is>
      </c>
      <c r="R71" t="inlineStr">
        <is>
          <t>correct</t>
        </is>
      </c>
      <c r="S71" t="inlineStr">
        <is>
          <t>matches_completely</t>
        </is>
      </c>
      <c r="T71" t="inlineStr">
        <is>
          <t>correct</t>
        </is>
      </c>
      <c r="U71">
        <f>IF(T71="correct",1,0)</f>
        <v/>
      </c>
      <c r="V71">
        <f>VLOOKUP(A71,Participants!$A$2:$B$86,2,FALSE)</f>
        <v/>
      </c>
    </row>
    <row r="72">
      <c r="A72" t="inlineStr">
        <is>
          <t>user_0013</t>
        </is>
      </c>
      <c r="B72" t="inlineStr">
        <is>
          <t>M2</t>
        </is>
      </c>
      <c r="C72" t="inlineStr">
        <is>
          <t>C2</t>
        </is>
      </c>
      <c r="D72" t="n">
        <v>4</v>
      </c>
      <c r="E72" t="inlineStr">
        <is>
          <t>2026-03-21T10:22:12.593817+00:00</t>
        </is>
      </c>
      <c r="F72" t="inlineStr">
        <is>
          <t>2026-03-21T10:22:12.616253+00:00</t>
        </is>
      </c>
      <c r="G72" t="n">
        <v>4</v>
      </c>
      <c r="H72" t="n">
        <v>80.56</v>
      </c>
      <c r="I72" t="n">
        <v>1</v>
      </c>
      <c r="J72" t="n">
        <v>1</v>
      </c>
      <c r="K72" t="n">
        <v>1</v>
      </c>
      <c r="M72" t="inlineStr">
        <is>
          <t>matches_completely</t>
        </is>
      </c>
      <c r="N72" t="n">
        <v>3</v>
      </c>
      <c r="Q72" t="inlineStr">
        <is>
          <t>correct</t>
        </is>
      </c>
      <c r="R72" t="inlineStr">
        <is>
          <t>correct</t>
        </is>
      </c>
      <c r="S72" t="inlineStr">
        <is>
          <t>partially</t>
        </is>
      </c>
      <c r="T72" t="inlineStr">
        <is>
          <t>correct</t>
        </is>
      </c>
      <c r="U72">
        <f>IF(T72="correct",1,0)</f>
        <v/>
      </c>
      <c r="V72">
        <f>VLOOKUP(A72,Participants!$A$2:$B$86,2,FALSE)</f>
        <v/>
      </c>
    </row>
    <row r="73">
      <c r="A73" t="inlineStr">
        <is>
          <t>user_0013</t>
        </is>
      </c>
      <c r="B73" t="inlineStr">
        <is>
          <t>C2</t>
        </is>
      </c>
      <c r="C73" t="inlineStr">
        <is>
          <t>C3</t>
        </is>
      </c>
      <c r="D73" t="n">
        <v>5</v>
      </c>
      <c r="E73" t="inlineStr">
        <is>
          <t>2026-03-21T10:24:26.057059+00:00</t>
        </is>
      </c>
      <c r="F73" t="inlineStr">
        <is>
          <t>2026-03-21T10:24:26.074420+00:00</t>
        </is>
      </c>
      <c r="G73" t="n">
        <v>4</v>
      </c>
      <c r="H73" t="n">
        <v>122.23</v>
      </c>
      <c r="I73" t="n">
        <v>1</v>
      </c>
      <c r="J73" t="n">
        <v>1</v>
      </c>
      <c r="K73" t="n">
        <v>1</v>
      </c>
      <c r="M73" t="inlineStr">
        <is>
          <t>partially</t>
        </is>
      </c>
      <c r="N73" t="n">
        <v>3</v>
      </c>
      <c r="Q73" t="inlineStr">
        <is>
          <t>correct</t>
        </is>
      </c>
      <c r="R73" t="inlineStr">
        <is>
          <t>correct</t>
        </is>
      </c>
      <c r="S73" t="inlineStr">
        <is>
          <t>matches_completely</t>
        </is>
      </c>
      <c r="T73" t="inlineStr">
        <is>
          <t>correct</t>
        </is>
      </c>
      <c r="U73">
        <f>IF(T73="correct",1,0)</f>
        <v/>
      </c>
      <c r="V73">
        <f>VLOOKUP(A73,Participants!$A$2:$B$86,2,FALSE)</f>
        <v/>
      </c>
    </row>
    <row r="74">
      <c r="A74" t="inlineStr">
        <is>
          <t>user_0015</t>
        </is>
      </c>
      <c r="B74" t="inlineStr">
        <is>
          <t>S1</t>
        </is>
      </c>
      <c r="C74" t="inlineStr">
        <is>
          <t>C1</t>
        </is>
      </c>
      <c r="D74" t="n">
        <v>0</v>
      </c>
      <c r="E74" t="inlineStr">
        <is>
          <t>2026-03-21T10:07:53.806355+00:00</t>
        </is>
      </c>
      <c r="F74" t="inlineStr">
        <is>
          <t>2026-03-21T10:07:53.823584+00:00</t>
        </is>
      </c>
      <c r="G74" t="n">
        <v>4</v>
      </c>
      <c r="H74" t="n">
        <v>172.16</v>
      </c>
      <c r="I74" t="n">
        <v>1</v>
      </c>
      <c r="J74" t="n">
        <v>1</v>
      </c>
      <c r="K74" t="n">
        <v>1</v>
      </c>
      <c r="M74" t="inlineStr">
        <is>
          <t>matches_completely</t>
        </is>
      </c>
      <c r="N74" t="n">
        <v>5</v>
      </c>
      <c r="Q74" t="inlineStr">
        <is>
          <t>correct</t>
        </is>
      </c>
      <c r="R74" t="inlineStr">
        <is>
          <t>correct</t>
        </is>
      </c>
      <c r="T74" t="inlineStr">
        <is>
          <t>correct</t>
        </is>
      </c>
      <c r="U74">
        <f>IF(T74="correct",1,0)</f>
        <v/>
      </c>
      <c r="V74">
        <f>VLOOKUP(A74,Participants!$A$2:$B$86,2,FALSE)</f>
        <v/>
      </c>
    </row>
    <row r="75">
      <c r="A75" t="inlineStr">
        <is>
          <t>user_0015</t>
        </is>
      </c>
      <c r="B75" t="inlineStr">
        <is>
          <t>M1</t>
        </is>
      </c>
      <c r="C75" t="inlineStr">
        <is>
          <t>C2</t>
        </is>
      </c>
      <c r="D75" t="n">
        <v>1</v>
      </c>
      <c r="E75" t="inlineStr">
        <is>
          <t>2026-03-21T10:18:16.512088+00:00</t>
        </is>
      </c>
      <c r="F75" t="inlineStr">
        <is>
          <t>2026-03-21T10:18:16.533255+00:00</t>
        </is>
      </c>
      <c r="G75" t="n">
        <v>8</v>
      </c>
      <c r="H75" t="n">
        <v>128.08</v>
      </c>
      <c r="I75" t="n">
        <v>2</v>
      </c>
      <c r="J75" t="n">
        <v>1</v>
      </c>
      <c r="K75" t="n">
        <v>1</v>
      </c>
      <c r="M75" t="inlineStr">
        <is>
          <t>matches_completely</t>
        </is>
      </c>
      <c r="N75" t="n">
        <v>3</v>
      </c>
      <c r="Q75" t="inlineStr">
        <is>
          <t>correct</t>
        </is>
      </c>
      <c r="R75" t="inlineStr">
        <is>
          <t>correct</t>
        </is>
      </c>
      <c r="T75" t="inlineStr">
        <is>
          <t>correct</t>
        </is>
      </c>
      <c r="U75">
        <f>IF(T75="correct",1,0)</f>
        <v/>
      </c>
      <c r="V75">
        <f>VLOOKUP(A75,Participants!$A$2:$B$86,2,FALSE)</f>
        <v/>
      </c>
    </row>
    <row r="76">
      <c r="A76" t="inlineStr">
        <is>
          <t>user_0015</t>
        </is>
      </c>
      <c r="B76" t="inlineStr">
        <is>
          <t>C1</t>
        </is>
      </c>
      <c r="C76" t="inlineStr">
        <is>
          <t>C3</t>
        </is>
      </c>
      <c r="D76" t="n">
        <v>2</v>
      </c>
      <c r="E76" t="inlineStr">
        <is>
          <t>2026-03-21T10:20:11.404549+00:00</t>
        </is>
      </c>
      <c r="F76" t="inlineStr">
        <is>
          <t>2026-03-21T10:20:11.422805+00:00</t>
        </is>
      </c>
      <c r="G76" t="n">
        <v>4</v>
      </c>
      <c r="H76" t="n">
        <v>65.69</v>
      </c>
      <c r="I76" t="n">
        <v>1</v>
      </c>
      <c r="J76" t="n">
        <v>1</v>
      </c>
      <c r="K76" t="n">
        <v>1</v>
      </c>
      <c r="M76" t="inlineStr">
        <is>
          <t>matches_completely</t>
        </is>
      </c>
      <c r="N76" t="n">
        <v>3</v>
      </c>
      <c r="Q76" t="inlineStr">
        <is>
          <t>correct</t>
        </is>
      </c>
      <c r="R76" t="inlineStr">
        <is>
          <t>correct</t>
        </is>
      </c>
      <c r="T76" t="inlineStr">
        <is>
          <t>correct</t>
        </is>
      </c>
      <c r="U76">
        <f>IF(T76="correct",1,0)</f>
        <v/>
      </c>
      <c r="V76">
        <f>VLOOKUP(A76,Participants!$A$2:$B$86,2,FALSE)</f>
        <v/>
      </c>
    </row>
    <row r="77">
      <c r="A77" t="inlineStr">
        <is>
          <t>user_0015</t>
        </is>
      </c>
      <c r="B77" t="inlineStr">
        <is>
          <t>S2</t>
        </is>
      </c>
      <c r="C77" t="inlineStr">
        <is>
          <t>C1</t>
        </is>
      </c>
      <c r="D77" t="n">
        <v>3</v>
      </c>
      <c r="E77" t="inlineStr">
        <is>
          <t>2026-03-21T10:28:32.778128+00:00</t>
        </is>
      </c>
      <c r="F77" t="inlineStr">
        <is>
          <t>2026-03-21T10:28:32.799727+00:00</t>
        </is>
      </c>
      <c r="G77" t="n">
        <v>4</v>
      </c>
      <c r="H77" t="n">
        <v>102.38</v>
      </c>
      <c r="I77" t="n">
        <v>1</v>
      </c>
      <c r="J77" t="n">
        <v>1</v>
      </c>
      <c r="K77" t="n">
        <v>1</v>
      </c>
      <c r="M77" t="inlineStr">
        <is>
          <t>matches_completely</t>
        </is>
      </c>
      <c r="N77" t="n">
        <v>5</v>
      </c>
      <c r="Q77" t="inlineStr">
        <is>
          <t>correct</t>
        </is>
      </c>
      <c r="R77" t="inlineStr">
        <is>
          <t>correct</t>
        </is>
      </c>
      <c r="T77" t="inlineStr">
        <is>
          <t>correct</t>
        </is>
      </c>
      <c r="U77">
        <f>IF(T77="correct",1,0)</f>
        <v/>
      </c>
      <c r="V77">
        <f>VLOOKUP(A77,Participants!$A$2:$B$86,2,FALSE)</f>
        <v/>
      </c>
    </row>
    <row r="78">
      <c r="A78" t="inlineStr">
        <is>
          <t>user_0015</t>
        </is>
      </c>
      <c r="B78" t="inlineStr">
        <is>
          <t>M2</t>
        </is>
      </c>
      <c r="C78" t="inlineStr">
        <is>
          <t>C2</t>
        </is>
      </c>
      <c r="D78" t="n">
        <v>4</v>
      </c>
      <c r="E78" t="inlineStr">
        <is>
          <t>2026-03-21T10:35:03.784059+00:00</t>
        </is>
      </c>
      <c r="F78" t="inlineStr">
        <is>
          <t>2026-03-21T10:35:03.805173+00:00</t>
        </is>
      </c>
      <c r="G78" t="n">
        <v>10</v>
      </c>
      <c r="H78" t="n">
        <v>313.91</v>
      </c>
      <c r="I78" t="n">
        <v>3</v>
      </c>
      <c r="J78" t="n">
        <v>1</v>
      </c>
      <c r="K78" t="n">
        <v>1</v>
      </c>
      <c r="M78" t="inlineStr">
        <is>
          <t>matches_completely</t>
        </is>
      </c>
      <c r="N78" t="n">
        <v>3</v>
      </c>
      <c r="Q78" t="inlineStr">
        <is>
          <t>correct</t>
        </is>
      </c>
      <c r="R78" t="inlineStr">
        <is>
          <t>correct</t>
        </is>
      </c>
      <c r="T78" t="inlineStr">
        <is>
          <t>correct</t>
        </is>
      </c>
      <c r="U78">
        <f>IF(T78="correct",1,0)</f>
        <v/>
      </c>
      <c r="V78">
        <f>VLOOKUP(A78,Participants!$A$2:$B$86,2,FALSE)</f>
        <v/>
      </c>
    </row>
    <row r="79">
      <c r="A79" t="inlineStr">
        <is>
          <t>user_0015</t>
        </is>
      </c>
      <c r="B79" t="inlineStr">
        <is>
          <t>C2</t>
        </is>
      </c>
      <c r="C79" t="inlineStr">
        <is>
          <t>C3</t>
        </is>
      </c>
      <c r="D79" t="n">
        <v>5</v>
      </c>
      <c r="E79" t="inlineStr">
        <is>
          <t>2026-03-21T10:37:58.213135+00:00</t>
        </is>
      </c>
      <c r="F79" t="inlineStr">
        <is>
          <t>2026-03-21T10:37:58.231135+00:00</t>
        </is>
      </c>
      <c r="G79" t="n">
        <v>7</v>
      </c>
      <c r="H79" t="n">
        <v>153.78</v>
      </c>
      <c r="I79" t="n">
        <v>2</v>
      </c>
      <c r="J79" t="n">
        <v>1</v>
      </c>
      <c r="K79" t="n">
        <v>1</v>
      </c>
      <c r="M79" t="inlineStr">
        <is>
          <t>matches_completely</t>
        </is>
      </c>
      <c r="N79" t="n">
        <v>5</v>
      </c>
      <c r="Q79" t="inlineStr">
        <is>
          <t>correct</t>
        </is>
      </c>
      <c r="R79" t="inlineStr">
        <is>
          <t>correct</t>
        </is>
      </c>
      <c r="T79" t="inlineStr">
        <is>
          <t>correct</t>
        </is>
      </c>
      <c r="U79">
        <f>IF(T79="correct",1,0)</f>
        <v/>
      </c>
      <c r="V79">
        <f>VLOOKUP(A79,Participants!$A$2:$B$86,2,FALSE)</f>
        <v/>
      </c>
    </row>
    <row r="80">
      <c r="A80" t="inlineStr">
        <is>
          <t>user_0016</t>
        </is>
      </c>
      <c r="B80" t="inlineStr">
        <is>
          <t>S1</t>
        </is>
      </c>
      <c r="C80" t="inlineStr">
        <is>
          <t>C1</t>
        </is>
      </c>
      <c r="D80" t="n">
        <v>0</v>
      </c>
      <c r="E80" t="inlineStr">
        <is>
          <t>2026-03-21T10:10:39.200352+00:00</t>
        </is>
      </c>
      <c r="F80" t="inlineStr">
        <is>
          <t>2026-03-21T10:10:39.220946+00:00</t>
        </is>
      </c>
      <c r="G80" t="n">
        <v>11</v>
      </c>
      <c r="H80" t="n">
        <v>469.47</v>
      </c>
      <c r="I80" t="n">
        <v>3</v>
      </c>
      <c r="J80" t="n">
        <v>1</v>
      </c>
      <c r="K80" t="n">
        <v>1</v>
      </c>
      <c r="M80" t="inlineStr">
        <is>
          <t>partially</t>
        </is>
      </c>
      <c r="N80" t="n">
        <v>3</v>
      </c>
      <c r="Q80" t="inlineStr">
        <is>
          <t>correct</t>
        </is>
      </c>
      <c r="R80" t="inlineStr">
        <is>
          <t>correct</t>
        </is>
      </c>
      <c r="S80" t="inlineStr">
        <is>
          <t>matches_completely</t>
        </is>
      </c>
      <c r="T80" t="inlineStr">
        <is>
          <t>correct</t>
        </is>
      </c>
      <c r="U80">
        <f>IF(T80="correct",1,0)</f>
        <v/>
      </c>
      <c r="V80">
        <f>VLOOKUP(A80,Participants!$A$2:$B$86,2,FALSE)</f>
        <v/>
      </c>
    </row>
    <row r="81">
      <c r="A81" t="inlineStr">
        <is>
          <t>user_0016</t>
        </is>
      </c>
      <c r="B81" t="inlineStr">
        <is>
          <t>M1</t>
        </is>
      </c>
      <c r="C81" t="inlineStr">
        <is>
          <t>C2</t>
        </is>
      </c>
      <c r="D81" t="n">
        <v>1</v>
      </c>
      <c r="E81" t="inlineStr">
        <is>
          <t>2026-03-21T10:11:11.138771+00:00</t>
        </is>
      </c>
      <c r="F81" t="inlineStr">
        <is>
          <t>2026-03-21T10:11:11.154736+00:00</t>
        </is>
      </c>
      <c r="G81" t="n">
        <v>4</v>
      </c>
      <c r="H81" t="n">
        <v>20</v>
      </c>
      <c r="I81" t="n">
        <v>1</v>
      </c>
      <c r="J81" t="n">
        <v>1</v>
      </c>
      <c r="K81" t="n">
        <v>1</v>
      </c>
      <c r="M81" t="inlineStr">
        <is>
          <t>matches_completely</t>
        </is>
      </c>
      <c r="N81" t="n">
        <v>5</v>
      </c>
      <c r="Q81" t="inlineStr">
        <is>
          <t>correct</t>
        </is>
      </c>
      <c r="R81" t="inlineStr">
        <is>
          <t>correct</t>
        </is>
      </c>
      <c r="S81" t="inlineStr">
        <is>
          <t>matches_completely</t>
        </is>
      </c>
      <c r="T81" t="inlineStr">
        <is>
          <t>correct</t>
        </is>
      </c>
      <c r="U81">
        <f>IF(T81="correct",1,0)</f>
        <v/>
      </c>
      <c r="V81">
        <f>VLOOKUP(A81,Participants!$A$2:$B$86,2,FALSE)</f>
        <v/>
      </c>
    </row>
    <row r="82">
      <c r="A82" t="inlineStr">
        <is>
          <t>user_0016</t>
        </is>
      </c>
      <c r="B82" t="inlineStr">
        <is>
          <t>C1</t>
        </is>
      </c>
      <c r="C82" t="inlineStr">
        <is>
          <t>C3</t>
        </is>
      </c>
      <c r="D82" t="n">
        <v>2</v>
      </c>
      <c r="E82" t="inlineStr">
        <is>
          <t>2026-03-21T10:12:05.191898+00:00</t>
        </is>
      </c>
      <c r="F82" t="inlineStr">
        <is>
          <t>2026-03-21T10:12:05.212406+00:00</t>
        </is>
      </c>
      <c r="G82" t="n">
        <v>4</v>
      </c>
      <c r="H82" t="n">
        <v>58.41</v>
      </c>
      <c r="I82" t="n">
        <v>1</v>
      </c>
      <c r="J82" t="n">
        <v>1</v>
      </c>
      <c r="K82" t="n">
        <v>1</v>
      </c>
      <c r="M82" t="inlineStr">
        <is>
          <t>matches_completely</t>
        </is>
      </c>
      <c r="N82" t="n">
        <v>4</v>
      </c>
      <c r="Q82" t="inlineStr">
        <is>
          <t>correct</t>
        </is>
      </c>
      <c r="R82" t="inlineStr">
        <is>
          <t>correct</t>
        </is>
      </c>
      <c r="S82" t="inlineStr">
        <is>
          <t>does_not_match</t>
        </is>
      </c>
      <c r="T82" t="inlineStr">
        <is>
          <t>correct</t>
        </is>
      </c>
      <c r="U82">
        <f>IF(T82="correct",1,0)</f>
        <v/>
      </c>
      <c r="V82">
        <f>VLOOKUP(A82,Participants!$A$2:$B$86,2,FALSE)</f>
        <v/>
      </c>
    </row>
    <row r="83">
      <c r="A83" t="inlineStr">
        <is>
          <t>user_0016</t>
        </is>
      </c>
      <c r="B83" t="inlineStr">
        <is>
          <t>S2</t>
        </is>
      </c>
      <c r="C83" t="inlineStr">
        <is>
          <t>C1</t>
        </is>
      </c>
      <c r="D83" t="n">
        <v>3</v>
      </c>
      <c r="E83" t="inlineStr">
        <is>
          <t>2026-03-21T10:22:39.357456+00:00</t>
        </is>
      </c>
      <c r="F83" t="inlineStr">
        <is>
          <t>2026-03-21T10:22:39.375866+00:00</t>
        </is>
      </c>
      <c r="G83" t="n">
        <v>7</v>
      </c>
      <c r="H83" t="n">
        <v>161.84</v>
      </c>
      <c r="I83" t="n">
        <v>2</v>
      </c>
      <c r="J83" t="n">
        <v>1</v>
      </c>
      <c r="K83" t="n">
        <v>1</v>
      </c>
      <c r="M83" t="inlineStr">
        <is>
          <t>matches_completely</t>
        </is>
      </c>
      <c r="N83" t="n">
        <v>3</v>
      </c>
      <c r="Q83" t="inlineStr">
        <is>
          <t>correct</t>
        </is>
      </c>
      <c r="R83" t="inlineStr">
        <is>
          <t>correct</t>
        </is>
      </c>
      <c r="S83" t="inlineStr">
        <is>
          <t>matches_completely</t>
        </is>
      </c>
      <c r="T83" t="inlineStr">
        <is>
          <t>correct</t>
        </is>
      </c>
      <c r="U83">
        <f>IF(T83="correct",1,0)</f>
        <v/>
      </c>
      <c r="V83">
        <f>VLOOKUP(A83,Participants!$A$2:$B$86,2,FALSE)</f>
        <v/>
      </c>
    </row>
    <row r="84">
      <c r="A84" t="inlineStr">
        <is>
          <t>user_0016</t>
        </is>
      </c>
      <c r="B84" t="inlineStr">
        <is>
          <t>M2</t>
        </is>
      </c>
      <c r="C84" t="inlineStr">
        <is>
          <t>C2</t>
        </is>
      </c>
      <c r="D84" t="n">
        <v>4</v>
      </c>
      <c r="E84" t="inlineStr">
        <is>
          <t>2026-03-21T10:25:05.721178+00:00</t>
        </is>
      </c>
      <c r="F84" t="inlineStr">
        <is>
          <t>2026-03-21T10:25:05.742931+00:00</t>
        </is>
      </c>
      <c r="G84" t="n">
        <v>7</v>
      </c>
      <c r="H84" t="n">
        <v>157.5</v>
      </c>
      <c r="I84" t="n">
        <v>2</v>
      </c>
      <c r="J84" t="n">
        <v>1</v>
      </c>
      <c r="K84" t="n">
        <v>1</v>
      </c>
      <c r="M84" t="inlineStr">
        <is>
          <t>matches_completely</t>
        </is>
      </c>
      <c r="N84" t="n">
        <v>4</v>
      </c>
      <c r="Q84" t="inlineStr">
        <is>
          <t>correct</t>
        </is>
      </c>
      <c r="R84" t="inlineStr">
        <is>
          <t>correct</t>
        </is>
      </c>
      <c r="S84" t="inlineStr">
        <is>
          <t>matches_completely</t>
        </is>
      </c>
      <c r="T84" t="inlineStr">
        <is>
          <t>correct</t>
        </is>
      </c>
      <c r="U84">
        <f>IF(T84="correct",1,0)</f>
        <v/>
      </c>
      <c r="V84">
        <f>VLOOKUP(A84,Participants!$A$2:$B$86,2,FALSE)</f>
        <v/>
      </c>
    </row>
    <row r="85">
      <c r="A85" t="inlineStr">
        <is>
          <t>user_0016</t>
        </is>
      </c>
      <c r="B85" t="inlineStr">
        <is>
          <t>C2</t>
        </is>
      </c>
      <c r="C85" t="inlineStr">
        <is>
          <t>C3</t>
        </is>
      </c>
      <c r="D85" t="n">
        <v>5</v>
      </c>
      <c r="E85" t="inlineStr">
        <is>
          <t>2026-03-21T10:26:09.012785+00:00</t>
        </is>
      </c>
      <c r="F85" t="inlineStr">
        <is>
          <t>2026-03-21T10:26:09.033693+00:00</t>
        </is>
      </c>
      <c r="G85" t="n">
        <v>7</v>
      </c>
      <c r="H85" t="n">
        <v>84.16</v>
      </c>
      <c r="I85" t="n">
        <v>2</v>
      </c>
      <c r="J85" t="n">
        <v>1</v>
      </c>
      <c r="K85" t="n">
        <v>1</v>
      </c>
      <c r="M85" t="inlineStr">
        <is>
          <t>matches_completely</t>
        </is>
      </c>
      <c r="N85" t="n">
        <v>4</v>
      </c>
      <c r="Q85" t="inlineStr">
        <is>
          <t>correct</t>
        </is>
      </c>
      <c r="R85" t="inlineStr">
        <is>
          <t>correct</t>
        </is>
      </c>
      <c r="S85" t="inlineStr">
        <is>
          <t>matches_completely</t>
        </is>
      </c>
      <c r="T85" t="inlineStr">
        <is>
          <t>correct</t>
        </is>
      </c>
      <c r="U85">
        <f>IF(T85="correct",1,0)</f>
        <v/>
      </c>
      <c r="V85">
        <f>VLOOKUP(A85,Participants!$A$2:$B$86,2,FALSE)</f>
        <v/>
      </c>
    </row>
    <row r="86">
      <c r="A86" t="inlineStr">
        <is>
          <t>user_0017</t>
        </is>
      </c>
      <c r="B86" t="inlineStr">
        <is>
          <t>S1</t>
        </is>
      </c>
      <c r="C86" t="inlineStr">
        <is>
          <t>C1</t>
        </is>
      </c>
      <c r="D86" t="n">
        <v>0</v>
      </c>
      <c r="E86" t="inlineStr">
        <is>
          <t>2026-03-21T10:05:15.379131+00:00</t>
        </is>
      </c>
      <c r="F86" t="inlineStr">
        <is>
          <t>2026-03-21T10:05:15.397357+00:00</t>
        </is>
      </c>
      <c r="G86" t="n">
        <v>10</v>
      </c>
      <c r="H86" t="n">
        <v>147.02</v>
      </c>
      <c r="I86" t="n">
        <v>3</v>
      </c>
      <c r="J86" t="n">
        <v>1</v>
      </c>
      <c r="K86" t="n">
        <v>0</v>
      </c>
      <c r="M86" t="inlineStr">
        <is>
          <t>matches_completely</t>
        </is>
      </c>
      <c r="N86" t="n">
        <v>3</v>
      </c>
      <c r="Q86" t="inlineStr">
        <is>
          <t>correct</t>
        </is>
      </c>
      <c r="R86" t="inlineStr">
        <is>
          <t>correct</t>
        </is>
      </c>
      <c r="S86" t="inlineStr">
        <is>
          <t>does_not_match</t>
        </is>
      </c>
      <c r="T86" t="inlineStr">
        <is>
          <t>correct</t>
        </is>
      </c>
      <c r="U86">
        <f>IF(T86="correct",1,0)</f>
        <v/>
      </c>
      <c r="V86">
        <f>VLOOKUP(A86,Participants!$A$2:$B$86,2,FALSE)</f>
        <v/>
      </c>
    </row>
    <row r="87">
      <c r="A87" t="inlineStr">
        <is>
          <t>user_0017</t>
        </is>
      </c>
      <c r="B87" t="inlineStr">
        <is>
          <t>M1</t>
        </is>
      </c>
      <c r="C87" t="inlineStr">
        <is>
          <t>C2</t>
        </is>
      </c>
      <c r="D87" t="n">
        <v>1</v>
      </c>
      <c r="E87" t="inlineStr">
        <is>
          <t>2026-03-21T10:12:22.746933+00:00</t>
        </is>
      </c>
      <c r="F87" t="inlineStr">
        <is>
          <t>2026-03-21T10:12:22.780353+00:00</t>
        </is>
      </c>
      <c r="G87" t="n">
        <v>10</v>
      </c>
      <c r="H87" t="n">
        <v>20</v>
      </c>
      <c r="I87" t="n">
        <v>2</v>
      </c>
      <c r="J87" t="n">
        <v>1</v>
      </c>
      <c r="K87" t="n">
        <v>1</v>
      </c>
      <c r="M87" t="inlineStr">
        <is>
          <t>matches_completely</t>
        </is>
      </c>
      <c r="N87" t="n">
        <v>3</v>
      </c>
      <c r="Q87" t="inlineStr">
        <is>
          <t>correct</t>
        </is>
      </c>
      <c r="R87" t="inlineStr">
        <is>
          <t>correct</t>
        </is>
      </c>
      <c r="S87" t="inlineStr">
        <is>
          <t>matches_completely</t>
        </is>
      </c>
      <c r="T87" t="inlineStr">
        <is>
          <t>correct</t>
        </is>
      </c>
      <c r="U87">
        <f>IF(T87="correct",1,0)</f>
        <v/>
      </c>
      <c r="V87">
        <f>VLOOKUP(A87,Participants!$A$2:$B$86,2,FALSE)</f>
        <v/>
      </c>
    </row>
    <row r="88">
      <c r="A88" t="inlineStr">
        <is>
          <t>user_0017</t>
        </is>
      </c>
      <c r="B88" t="inlineStr">
        <is>
          <t>C1</t>
        </is>
      </c>
      <c r="C88" t="inlineStr">
        <is>
          <t>C3</t>
        </is>
      </c>
      <c r="D88" t="n">
        <v>2</v>
      </c>
      <c r="E88" t="inlineStr">
        <is>
          <t>2026-03-21T10:16:37.082793+00:00</t>
        </is>
      </c>
      <c r="F88" t="inlineStr">
        <is>
          <t>2026-03-21T10:16:37.104048+00:00</t>
        </is>
      </c>
      <c r="G88" t="n">
        <v>10</v>
      </c>
      <c r="H88" t="n">
        <v>226.66</v>
      </c>
      <c r="I88" t="n">
        <v>3</v>
      </c>
      <c r="J88" t="n">
        <v>1</v>
      </c>
      <c r="K88" t="n">
        <v>1</v>
      </c>
      <c r="M88" t="inlineStr">
        <is>
          <t>matches_completely</t>
        </is>
      </c>
      <c r="N88" t="n">
        <v>3</v>
      </c>
      <c r="Q88" t="inlineStr">
        <is>
          <t>correct</t>
        </is>
      </c>
      <c r="R88" t="inlineStr">
        <is>
          <t>correct</t>
        </is>
      </c>
      <c r="S88" t="inlineStr">
        <is>
          <t>does_not_match</t>
        </is>
      </c>
      <c r="T88" t="inlineStr">
        <is>
          <t>correct</t>
        </is>
      </c>
      <c r="U88">
        <f>IF(T88="correct",1,0)</f>
        <v/>
      </c>
      <c r="V88">
        <f>VLOOKUP(A88,Participants!$A$2:$B$86,2,FALSE)</f>
        <v/>
      </c>
    </row>
    <row r="89">
      <c r="A89" t="inlineStr">
        <is>
          <t>user_0017</t>
        </is>
      </c>
      <c r="B89" t="inlineStr">
        <is>
          <t>S2</t>
        </is>
      </c>
      <c r="C89" t="inlineStr">
        <is>
          <t>C1</t>
        </is>
      </c>
      <c r="D89" t="n">
        <v>3</v>
      </c>
      <c r="E89" t="inlineStr">
        <is>
          <t>2026-03-21T10:19:48.950307+00:00</t>
        </is>
      </c>
      <c r="F89" t="inlineStr">
        <is>
          <t>2026-03-21T10:19:48.971397+00:00</t>
        </is>
      </c>
      <c r="G89" t="n">
        <v>4</v>
      </c>
      <c r="H89" t="n">
        <v>59.91</v>
      </c>
      <c r="I89" t="n">
        <v>1</v>
      </c>
      <c r="J89" t="n">
        <v>1</v>
      </c>
      <c r="K89" t="n">
        <v>1</v>
      </c>
      <c r="M89" t="inlineStr">
        <is>
          <t>matches_completely</t>
        </is>
      </c>
      <c r="N89" t="n">
        <v>5</v>
      </c>
      <c r="Q89" t="inlineStr">
        <is>
          <t>correct</t>
        </is>
      </c>
      <c r="R89" t="inlineStr">
        <is>
          <t>correct</t>
        </is>
      </c>
      <c r="S89" t="inlineStr">
        <is>
          <t>matches_completely</t>
        </is>
      </c>
      <c r="T89" t="inlineStr">
        <is>
          <t>correct</t>
        </is>
      </c>
      <c r="U89">
        <f>IF(T89="correct",1,0)</f>
        <v/>
      </c>
      <c r="V89">
        <f>VLOOKUP(A89,Participants!$A$2:$B$86,2,FALSE)</f>
        <v/>
      </c>
    </row>
    <row r="90">
      <c r="A90" t="inlineStr">
        <is>
          <t>user_0017</t>
        </is>
      </c>
      <c r="B90" t="inlineStr">
        <is>
          <t>M2</t>
        </is>
      </c>
      <c r="C90" t="inlineStr">
        <is>
          <t>C2</t>
        </is>
      </c>
      <c r="D90" t="n">
        <v>4</v>
      </c>
      <c r="E90" t="inlineStr">
        <is>
          <t>2026-03-21T10:21:39.154812+00:00</t>
        </is>
      </c>
      <c r="F90" t="inlineStr">
        <is>
          <t>2026-03-21T10:21:39.178766+00:00</t>
        </is>
      </c>
      <c r="G90" t="n">
        <v>4</v>
      </c>
      <c r="H90" t="n">
        <v>75.86</v>
      </c>
      <c r="I90" t="n">
        <v>1</v>
      </c>
      <c r="J90" t="n">
        <v>1</v>
      </c>
      <c r="K90" t="n">
        <v>1</v>
      </c>
      <c r="M90" t="inlineStr">
        <is>
          <t>matches_completely</t>
        </is>
      </c>
      <c r="N90" t="n">
        <v>5</v>
      </c>
      <c r="Q90" t="inlineStr">
        <is>
          <t>correct</t>
        </is>
      </c>
      <c r="R90" t="inlineStr">
        <is>
          <t>correct</t>
        </is>
      </c>
      <c r="S90" t="inlineStr">
        <is>
          <t>partially</t>
        </is>
      </c>
      <c r="T90" t="inlineStr">
        <is>
          <t>correct</t>
        </is>
      </c>
      <c r="U90">
        <f>IF(T90="correct",1,0)</f>
        <v/>
      </c>
      <c r="V90">
        <f>VLOOKUP(A90,Participants!$A$2:$B$86,2,FALSE)</f>
        <v/>
      </c>
    </row>
    <row r="91">
      <c r="A91" t="inlineStr">
        <is>
          <t>user_0017</t>
        </is>
      </c>
      <c r="B91" t="inlineStr">
        <is>
          <t>C2</t>
        </is>
      </c>
      <c r="C91" t="inlineStr">
        <is>
          <t>C3</t>
        </is>
      </c>
      <c r="D91" t="n">
        <v>5</v>
      </c>
      <c r="E91" t="inlineStr">
        <is>
          <t>2026-03-21T10:24:09.305291+00:00</t>
        </is>
      </c>
      <c r="F91" t="inlineStr">
        <is>
          <t>2026-03-21T10:24:09.325085+00:00</t>
        </is>
      </c>
      <c r="G91" t="n">
        <v>10</v>
      </c>
      <c r="H91" t="n">
        <v>140.41</v>
      </c>
      <c r="I91" t="n">
        <v>2</v>
      </c>
      <c r="J91" t="n">
        <v>1</v>
      </c>
      <c r="K91" t="n">
        <v>1</v>
      </c>
      <c r="M91" t="inlineStr">
        <is>
          <t>matches_completely</t>
        </is>
      </c>
      <c r="N91" t="n">
        <v>3</v>
      </c>
      <c r="Q91" t="inlineStr">
        <is>
          <t>correct</t>
        </is>
      </c>
      <c r="R91" t="inlineStr">
        <is>
          <t>correct</t>
        </is>
      </c>
      <c r="S91" t="inlineStr">
        <is>
          <t>matches_completely</t>
        </is>
      </c>
      <c r="T91" t="inlineStr">
        <is>
          <t>correct</t>
        </is>
      </c>
      <c r="U91">
        <f>IF(T91="correct",1,0)</f>
        <v/>
      </c>
      <c r="V91">
        <f>VLOOKUP(A91,Participants!$A$2:$B$86,2,FALSE)</f>
        <v/>
      </c>
    </row>
    <row r="92">
      <c r="A92" t="inlineStr">
        <is>
          <t>user_0018</t>
        </is>
      </c>
      <c r="B92" t="inlineStr">
        <is>
          <t>S1</t>
        </is>
      </c>
      <c r="C92" t="inlineStr">
        <is>
          <t>C1</t>
        </is>
      </c>
      <c r="D92" t="n">
        <v>0</v>
      </c>
      <c r="E92" t="inlineStr">
        <is>
          <t>2026-03-21T10:08:40.773780+00:00</t>
        </is>
      </c>
      <c r="F92" t="inlineStr">
        <is>
          <t>2026-03-21T10:08:40.797503+00:00</t>
        </is>
      </c>
      <c r="G92" t="n">
        <v>10</v>
      </c>
      <c r="H92" t="n">
        <v>349.91</v>
      </c>
      <c r="I92" t="n">
        <v>3</v>
      </c>
      <c r="J92" t="n">
        <v>1</v>
      </c>
      <c r="K92" t="n">
        <v>1</v>
      </c>
      <c r="M92" t="inlineStr">
        <is>
          <t>matches_completely</t>
        </is>
      </c>
      <c r="N92" t="n">
        <v>4</v>
      </c>
      <c r="Q92" t="inlineStr">
        <is>
          <t>correct</t>
        </is>
      </c>
      <c r="R92" t="inlineStr">
        <is>
          <t>correct</t>
        </is>
      </c>
      <c r="S92" t="inlineStr">
        <is>
          <t>matches_completely</t>
        </is>
      </c>
      <c r="T92" t="inlineStr">
        <is>
          <t>correct</t>
        </is>
      </c>
      <c r="U92">
        <f>IF(T92="correct",1,0)</f>
        <v/>
      </c>
      <c r="V92">
        <f>VLOOKUP(A92,Participants!$A$2:$B$86,2,FALSE)</f>
        <v/>
      </c>
    </row>
    <row r="93">
      <c r="A93" t="inlineStr">
        <is>
          <t>user_0018</t>
        </is>
      </c>
      <c r="B93" t="inlineStr">
        <is>
          <t>M1</t>
        </is>
      </c>
      <c r="C93" t="inlineStr">
        <is>
          <t>C2</t>
        </is>
      </c>
      <c r="D93" t="n">
        <v>1</v>
      </c>
      <c r="E93" t="inlineStr">
        <is>
          <t>2026-03-21T10:14:43.285453+00:00</t>
        </is>
      </c>
      <c r="F93" t="inlineStr">
        <is>
          <t>2026-03-21T10:14:43.332491+00:00</t>
        </is>
      </c>
      <c r="G93" t="n">
        <v>12</v>
      </c>
      <c r="H93" t="n">
        <v>104.23</v>
      </c>
      <c r="I93" t="n">
        <v>3</v>
      </c>
      <c r="J93" t="n">
        <v>1</v>
      </c>
      <c r="K93" t="n">
        <v>0</v>
      </c>
      <c r="M93" t="inlineStr">
        <is>
          <t>partially</t>
        </is>
      </c>
      <c r="N93" t="n">
        <v>4</v>
      </c>
      <c r="Q93" t="inlineStr">
        <is>
          <t>correct</t>
        </is>
      </c>
      <c r="R93" t="inlineStr">
        <is>
          <t>correct</t>
        </is>
      </c>
      <c r="S93" t="inlineStr">
        <is>
          <t>does_not_match</t>
        </is>
      </c>
      <c r="T93" t="inlineStr">
        <is>
          <t>correct</t>
        </is>
      </c>
      <c r="U93">
        <f>IF(T93="correct",1,0)</f>
        <v/>
      </c>
      <c r="V93">
        <f>VLOOKUP(A93,Participants!$A$2:$B$86,2,FALSE)</f>
        <v/>
      </c>
    </row>
    <row r="94">
      <c r="A94" t="inlineStr">
        <is>
          <t>user_0018</t>
        </is>
      </c>
      <c r="B94" t="inlineStr">
        <is>
          <t>C1</t>
        </is>
      </c>
      <c r="C94" t="inlineStr">
        <is>
          <t>C3</t>
        </is>
      </c>
      <c r="D94" t="n">
        <v>2</v>
      </c>
      <c r="E94" t="inlineStr">
        <is>
          <t>2026-03-21T10:18:39.347044+00:00</t>
        </is>
      </c>
      <c r="F94" t="inlineStr">
        <is>
          <t>2026-03-21T10:18:39.473744+00:00</t>
        </is>
      </c>
      <c r="G94" t="n">
        <v>9</v>
      </c>
      <c r="H94" t="n">
        <v>118.16</v>
      </c>
      <c r="I94" t="n">
        <v>2</v>
      </c>
      <c r="J94" t="n">
        <v>1</v>
      </c>
      <c r="K94" t="n">
        <v>1</v>
      </c>
      <c r="M94" t="inlineStr">
        <is>
          <t>matches_completely</t>
        </is>
      </c>
      <c r="N94" t="n">
        <v>5</v>
      </c>
      <c r="Q94" t="inlineStr">
        <is>
          <t>correct</t>
        </is>
      </c>
      <c r="R94" t="inlineStr">
        <is>
          <t>correct</t>
        </is>
      </c>
      <c r="S94" t="inlineStr">
        <is>
          <t>does_not_match</t>
        </is>
      </c>
      <c r="T94" t="inlineStr">
        <is>
          <t>correct</t>
        </is>
      </c>
      <c r="U94">
        <f>IF(T94="correct",1,0)</f>
        <v/>
      </c>
      <c r="V94">
        <f>VLOOKUP(A94,Participants!$A$2:$B$86,2,FALSE)</f>
        <v/>
      </c>
    </row>
    <row r="95">
      <c r="A95" t="inlineStr">
        <is>
          <t>user_0018</t>
        </is>
      </c>
      <c r="B95" t="inlineStr">
        <is>
          <t>S2</t>
        </is>
      </c>
      <c r="C95" t="inlineStr">
        <is>
          <t>C1</t>
        </is>
      </c>
      <c r="D95" t="n">
        <v>3</v>
      </c>
      <c r="E95" t="inlineStr">
        <is>
          <t>2026-03-21T10:21:55.327402+00:00</t>
        </is>
      </c>
      <c r="F95" t="inlineStr">
        <is>
          <t>2026-03-21T10:21:55.343494+00:00</t>
        </is>
      </c>
      <c r="G95" t="n">
        <v>4</v>
      </c>
      <c r="H95" t="n">
        <v>62.55</v>
      </c>
      <c r="I95" t="n">
        <v>1</v>
      </c>
      <c r="J95" t="n">
        <v>1</v>
      </c>
      <c r="K95" t="n">
        <v>1</v>
      </c>
      <c r="M95" t="inlineStr">
        <is>
          <t>matches_completely</t>
        </is>
      </c>
      <c r="N95" t="n">
        <v>5</v>
      </c>
      <c r="Q95" t="inlineStr">
        <is>
          <t>correct</t>
        </is>
      </c>
      <c r="R95" t="inlineStr">
        <is>
          <t>correct</t>
        </is>
      </c>
      <c r="S95" t="inlineStr">
        <is>
          <t>matches_completely</t>
        </is>
      </c>
      <c r="T95" t="inlineStr">
        <is>
          <t>correct</t>
        </is>
      </c>
      <c r="U95">
        <f>IF(T95="correct",1,0)</f>
        <v/>
      </c>
      <c r="V95">
        <f>VLOOKUP(A95,Participants!$A$2:$B$86,2,FALSE)</f>
        <v/>
      </c>
    </row>
    <row r="96">
      <c r="A96" t="inlineStr">
        <is>
          <t>user_0018</t>
        </is>
      </c>
      <c r="B96" t="inlineStr">
        <is>
          <t>M2</t>
        </is>
      </c>
      <c r="C96" t="inlineStr">
        <is>
          <t>C2</t>
        </is>
      </c>
      <c r="D96" t="n">
        <v>4</v>
      </c>
      <c r="E96" t="inlineStr">
        <is>
          <t>2026-03-21T10:24:43.885881+00:00</t>
        </is>
      </c>
      <c r="F96" t="inlineStr">
        <is>
          <t>2026-03-21T10:24:43.904971+00:00</t>
        </is>
      </c>
      <c r="G96" t="n">
        <v>7</v>
      </c>
      <c r="H96" t="n">
        <v>188.09</v>
      </c>
      <c r="I96" t="n">
        <v>2</v>
      </c>
      <c r="J96" t="n">
        <v>1</v>
      </c>
      <c r="K96" t="n">
        <v>1</v>
      </c>
      <c r="M96" t="inlineStr">
        <is>
          <t>matches_completely</t>
        </is>
      </c>
      <c r="N96" t="n">
        <v>4</v>
      </c>
      <c r="Q96" t="inlineStr">
        <is>
          <t>correct</t>
        </is>
      </c>
      <c r="R96" t="inlineStr">
        <is>
          <t>correct</t>
        </is>
      </c>
      <c r="S96" t="inlineStr">
        <is>
          <t>partially</t>
        </is>
      </c>
      <c r="T96" t="inlineStr">
        <is>
          <t>correct</t>
        </is>
      </c>
      <c r="U96">
        <f>IF(T96="correct",1,0)</f>
        <v/>
      </c>
      <c r="V96">
        <f>VLOOKUP(A96,Participants!$A$2:$B$86,2,FALSE)</f>
        <v/>
      </c>
    </row>
    <row r="97">
      <c r="A97" t="inlineStr">
        <is>
          <t>user_0018</t>
        </is>
      </c>
      <c r="B97" t="inlineStr">
        <is>
          <t>C2</t>
        </is>
      </c>
      <c r="C97" t="inlineStr">
        <is>
          <t>C3</t>
        </is>
      </c>
      <c r="D97" t="n">
        <v>5</v>
      </c>
      <c r="E97" t="inlineStr">
        <is>
          <t>2026-03-21T10:27:42.807160+00:00</t>
        </is>
      </c>
      <c r="F97" t="inlineStr">
        <is>
          <t>2026-03-21T10:27:42.827646+00:00</t>
        </is>
      </c>
      <c r="G97" t="n">
        <v>7</v>
      </c>
      <c r="H97" t="n">
        <v>114.02</v>
      </c>
      <c r="I97" t="n">
        <v>2</v>
      </c>
      <c r="J97" t="n">
        <v>1</v>
      </c>
      <c r="K97" t="n">
        <v>1</v>
      </c>
      <c r="M97" t="inlineStr">
        <is>
          <t>matches_completely</t>
        </is>
      </c>
      <c r="N97" t="n">
        <v>5</v>
      </c>
      <c r="Q97" t="inlineStr">
        <is>
          <t>correct</t>
        </is>
      </c>
      <c r="R97" t="inlineStr">
        <is>
          <t>correct</t>
        </is>
      </c>
      <c r="S97" t="inlineStr">
        <is>
          <t>matches_completely</t>
        </is>
      </c>
      <c r="T97" t="inlineStr">
        <is>
          <t>correct</t>
        </is>
      </c>
      <c r="U97">
        <f>IF(T97="correct",1,0)</f>
        <v/>
      </c>
      <c r="V97">
        <f>VLOOKUP(A97,Participants!$A$2:$B$86,2,FALSE)</f>
        <v/>
      </c>
    </row>
    <row r="98">
      <c r="A98" t="inlineStr">
        <is>
          <t>user_0019</t>
        </is>
      </c>
      <c r="B98" t="inlineStr">
        <is>
          <t>S1</t>
        </is>
      </c>
      <c r="C98" t="inlineStr">
        <is>
          <t>C1</t>
        </is>
      </c>
      <c r="D98" t="n">
        <v>0</v>
      </c>
      <c r="E98" t="inlineStr">
        <is>
          <t>2026-03-21T10:08:07.752040+00:00</t>
        </is>
      </c>
      <c r="F98" t="inlineStr">
        <is>
          <t>2026-03-21T10:08:07.774499+00:00</t>
        </is>
      </c>
      <c r="G98" t="n">
        <v>10</v>
      </c>
      <c r="H98" t="n">
        <v>323.34</v>
      </c>
      <c r="I98" t="n">
        <v>3</v>
      </c>
      <c r="J98" t="n">
        <v>1</v>
      </c>
      <c r="K98" t="n">
        <v>1</v>
      </c>
      <c r="M98" t="inlineStr">
        <is>
          <t>partially</t>
        </is>
      </c>
      <c r="N98" t="n">
        <v>3</v>
      </c>
      <c r="Q98" t="inlineStr">
        <is>
          <t>correct</t>
        </is>
      </c>
      <c r="R98" t="inlineStr">
        <is>
          <t>correct</t>
        </is>
      </c>
      <c r="S98" t="inlineStr">
        <is>
          <t>matches_completely</t>
        </is>
      </c>
      <c r="T98" t="inlineStr">
        <is>
          <t>correct</t>
        </is>
      </c>
      <c r="U98">
        <f>IF(T98="correct",1,0)</f>
        <v/>
      </c>
      <c r="V98">
        <f>VLOOKUP(A98,Participants!$A$2:$B$86,2,FALSE)</f>
        <v/>
      </c>
    </row>
    <row r="99">
      <c r="A99" t="inlineStr">
        <is>
          <t>user_0019</t>
        </is>
      </c>
      <c r="B99" t="inlineStr">
        <is>
          <t>M1</t>
        </is>
      </c>
      <c r="C99" t="inlineStr">
        <is>
          <t>C2</t>
        </is>
      </c>
      <c r="D99" t="n">
        <v>1</v>
      </c>
      <c r="E99" t="inlineStr">
        <is>
          <t>2026-03-21T10:16:28.425641+00:00</t>
        </is>
      </c>
      <c r="F99" t="inlineStr">
        <is>
          <t>2026-03-21T10:16:28.446426+00:00</t>
        </is>
      </c>
      <c r="G99" t="n">
        <v>7</v>
      </c>
      <c r="H99" t="n">
        <v>137.53</v>
      </c>
      <c r="I99" t="n">
        <v>2</v>
      </c>
      <c r="J99" t="n">
        <v>1</v>
      </c>
      <c r="K99" t="n">
        <v>1</v>
      </c>
      <c r="M99" t="inlineStr">
        <is>
          <t>matches_completely</t>
        </is>
      </c>
      <c r="N99" t="n">
        <v>5</v>
      </c>
      <c r="Q99" t="inlineStr">
        <is>
          <t>correct</t>
        </is>
      </c>
      <c r="R99" t="inlineStr">
        <is>
          <t>correct</t>
        </is>
      </c>
      <c r="S99" t="inlineStr">
        <is>
          <t>matches_completely</t>
        </is>
      </c>
      <c r="T99" t="inlineStr">
        <is>
          <t>correct</t>
        </is>
      </c>
      <c r="U99">
        <f>IF(T99="correct",1,0)</f>
        <v/>
      </c>
      <c r="V99">
        <f>VLOOKUP(A99,Participants!$A$2:$B$86,2,FALSE)</f>
        <v/>
      </c>
    </row>
    <row r="100">
      <c r="A100" t="inlineStr">
        <is>
          <t>user_0019</t>
        </is>
      </c>
      <c r="B100" t="inlineStr">
        <is>
          <t>C1</t>
        </is>
      </c>
      <c r="C100" t="inlineStr">
        <is>
          <t>C3</t>
        </is>
      </c>
      <c r="D100" t="n">
        <v>2</v>
      </c>
      <c r="E100" t="inlineStr">
        <is>
          <t>2026-03-21T10:20:06.830371+00:00</t>
        </is>
      </c>
      <c r="F100" t="inlineStr">
        <is>
          <t>2026-03-21T10:20:06.850426+00:00</t>
        </is>
      </c>
      <c r="G100" t="n">
        <v>7</v>
      </c>
      <c r="H100" t="n">
        <v>130.48</v>
      </c>
      <c r="I100" t="n">
        <v>2</v>
      </c>
      <c r="J100" t="n">
        <v>1</v>
      </c>
      <c r="K100" t="n">
        <v>1</v>
      </c>
      <c r="M100" t="inlineStr">
        <is>
          <t>matches_completely</t>
        </is>
      </c>
      <c r="N100" t="n">
        <v>5</v>
      </c>
      <c r="Q100" t="inlineStr">
        <is>
          <t>correct</t>
        </is>
      </c>
      <c r="R100" t="inlineStr">
        <is>
          <t>correct</t>
        </is>
      </c>
      <c r="S100" t="inlineStr">
        <is>
          <t>partially</t>
        </is>
      </c>
      <c r="T100" t="inlineStr">
        <is>
          <t>correct</t>
        </is>
      </c>
      <c r="U100">
        <f>IF(T100="correct",1,0)</f>
        <v/>
      </c>
      <c r="V100">
        <f>VLOOKUP(A100,Participants!$A$2:$B$86,2,FALSE)</f>
        <v/>
      </c>
    </row>
    <row r="101">
      <c r="A101" t="inlineStr">
        <is>
          <t>user_0019</t>
        </is>
      </c>
      <c r="B101" t="inlineStr">
        <is>
          <t>S2</t>
        </is>
      </c>
      <c r="C101" t="inlineStr">
        <is>
          <t>C1</t>
        </is>
      </c>
      <c r="D101" t="n">
        <v>3</v>
      </c>
      <c r="E101" t="inlineStr">
        <is>
          <t>2026-03-21T10:28:21.293181+00:00</t>
        </is>
      </c>
      <c r="F101" t="inlineStr">
        <is>
          <t>2026-03-21T10:28:21.309142+00:00</t>
        </is>
      </c>
      <c r="G101" t="n">
        <v>4</v>
      </c>
      <c r="H101" t="n">
        <v>142.88</v>
      </c>
      <c r="I101" t="n">
        <v>1</v>
      </c>
      <c r="J101" t="n">
        <v>1</v>
      </c>
      <c r="K101" t="n">
        <v>1</v>
      </c>
      <c r="M101" t="inlineStr">
        <is>
          <t>matches_completely</t>
        </is>
      </c>
      <c r="N101" t="n">
        <v>4</v>
      </c>
      <c r="Q101" t="inlineStr">
        <is>
          <t>correct</t>
        </is>
      </c>
      <c r="R101" t="inlineStr">
        <is>
          <t>correct</t>
        </is>
      </c>
      <c r="S101" t="inlineStr">
        <is>
          <t>matches_completely</t>
        </is>
      </c>
      <c r="T101" t="inlineStr">
        <is>
          <t>correct</t>
        </is>
      </c>
      <c r="U101">
        <f>IF(T101="correct",1,0)</f>
        <v/>
      </c>
      <c r="V101">
        <f>VLOOKUP(A101,Participants!$A$2:$B$86,2,FALSE)</f>
        <v/>
      </c>
    </row>
    <row r="102">
      <c r="A102" t="inlineStr">
        <is>
          <t>user_0019</t>
        </is>
      </c>
      <c r="B102" t="inlineStr">
        <is>
          <t>M2</t>
        </is>
      </c>
      <c r="C102" t="inlineStr">
        <is>
          <t>C2</t>
        </is>
      </c>
      <c r="D102" t="n">
        <v>4</v>
      </c>
      <c r="E102" t="inlineStr">
        <is>
          <t>2026-03-21T10:32:07.190562+00:00</t>
        </is>
      </c>
      <c r="F102" t="inlineStr">
        <is>
          <t>2026-03-21T10:32:07.210262+00:00</t>
        </is>
      </c>
      <c r="G102" t="n">
        <v>7</v>
      </c>
      <c r="H102" t="n">
        <v>144.16</v>
      </c>
      <c r="I102" t="n">
        <v>2</v>
      </c>
      <c r="J102" t="n">
        <v>1</v>
      </c>
      <c r="K102" t="n">
        <v>1</v>
      </c>
      <c r="M102" t="inlineStr">
        <is>
          <t>partially</t>
        </is>
      </c>
      <c r="N102" t="n">
        <v>3</v>
      </c>
      <c r="Q102" t="inlineStr">
        <is>
          <t>correct</t>
        </is>
      </c>
      <c r="R102" t="inlineStr">
        <is>
          <t>correct</t>
        </is>
      </c>
      <c r="S102" t="inlineStr">
        <is>
          <t>does_not_match</t>
        </is>
      </c>
      <c r="T102" t="inlineStr">
        <is>
          <t>correct</t>
        </is>
      </c>
      <c r="U102">
        <f>IF(T102="correct",1,0)</f>
        <v/>
      </c>
      <c r="V102">
        <f>VLOOKUP(A102,Participants!$A$2:$B$86,2,FALSE)</f>
        <v/>
      </c>
    </row>
    <row r="103">
      <c r="A103" t="inlineStr">
        <is>
          <t>user_0019</t>
        </is>
      </c>
      <c r="B103" t="inlineStr">
        <is>
          <t>C2</t>
        </is>
      </c>
      <c r="C103" t="inlineStr">
        <is>
          <t>C3</t>
        </is>
      </c>
      <c r="D103" t="n">
        <v>5</v>
      </c>
      <c r="E103" t="inlineStr">
        <is>
          <t>2026-03-21T10:36:01.122339+00:00</t>
        </is>
      </c>
      <c r="F103" t="inlineStr">
        <is>
          <t>2026-03-21T10:36:01.185236+00:00</t>
        </is>
      </c>
      <c r="G103" t="n">
        <v>7</v>
      </c>
      <c r="H103" t="n">
        <v>194.02</v>
      </c>
      <c r="I103" t="n">
        <v>2</v>
      </c>
      <c r="J103" t="n">
        <v>1</v>
      </c>
      <c r="K103" t="n">
        <v>1</v>
      </c>
      <c r="M103" t="inlineStr">
        <is>
          <t>matches_completely</t>
        </is>
      </c>
      <c r="N103" t="n">
        <v>5</v>
      </c>
      <c r="Q103" t="inlineStr">
        <is>
          <t>correct</t>
        </is>
      </c>
      <c r="R103" t="inlineStr">
        <is>
          <t>correct</t>
        </is>
      </c>
      <c r="S103" t="inlineStr">
        <is>
          <t>matches_completely</t>
        </is>
      </c>
      <c r="T103" t="inlineStr">
        <is>
          <t>correct</t>
        </is>
      </c>
      <c r="U103">
        <f>IF(T103="correct",1,0)</f>
        <v/>
      </c>
      <c r="V103">
        <f>VLOOKUP(A103,Participants!$A$2:$B$86,2,FALSE)</f>
        <v/>
      </c>
    </row>
    <row r="104">
      <c r="A104" t="inlineStr">
        <is>
          <t>user_0020</t>
        </is>
      </c>
      <c r="B104" t="inlineStr">
        <is>
          <t>S1</t>
        </is>
      </c>
      <c r="C104" t="inlineStr">
        <is>
          <t>C1</t>
        </is>
      </c>
      <c r="D104" t="n">
        <v>0</v>
      </c>
      <c r="E104" t="inlineStr">
        <is>
          <t>2026-03-21T10:05:03.419808+00:00</t>
        </is>
      </c>
      <c r="F104" t="inlineStr">
        <is>
          <t>2026-03-21T10:05:03.436924+00:00</t>
        </is>
      </c>
      <c r="G104" t="n">
        <v>7</v>
      </c>
      <c r="H104" t="n">
        <v>90.14</v>
      </c>
      <c r="I104" t="n">
        <v>2</v>
      </c>
      <c r="J104" t="n">
        <v>1</v>
      </c>
      <c r="K104" t="n">
        <v>1</v>
      </c>
      <c r="M104" t="inlineStr">
        <is>
          <t>partially</t>
        </is>
      </c>
      <c r="N104" t="n">
        <v>3</v>
      </c>
      <c r="Q104" t="inlineStr">
        <is>
          <t>correct</t>
        </is>
      </c>
      <c r="R104" t="inlineStr">
        <is>
          <t>correct</t>
        </is>
      </c>
      <c r="S104" t="inlineStr">
        <is>
          <t>matches_completely</t>
        </is>
      </c>
      <c r="T104" t="inlineStr">
        <is>
          <t>correct</t>
        </is>
      </c>
      <c r="U104">
        <f>IF(T104="correct",1,0)</f>
        <v/>
      </c>
      <c r="V104">
        <f>VLOOKUP(A104,Participants!$A$2:$B$86,2,FALSE)</f>
        <v/>
      </c>
    </row>
    <row r="105">
      <c r="A105" t="inlineStr">
        <is>
          <t>user_0020</t>
        </is>
      </c>
      <c r="B105" t="inlineStr">
        <is>
          <t>M1</t>
        </is>
      </c>
      <c r="C105" t="inlineStr">
        <is>
          <t>C2</t>
        </is>
      </c>
      <c r="D105" t="n">
        <v>1</v>
      </c>
      <c r="E105" t="inlineStr">
        <is>
          <t>2026-03-21T10:17:25.409131+00:00</t>
        </is>
      </c>
      <c r="F105" t="inlineStr">
        <is>
          <t>2026-03-21T10:17:25.430511+00:00</t>
        </is>
      </c>
      <c r="G105" t="n">
        <v>10</v>
      </c>
      <c r="H105" t="n">
        <v>194.81</v>
      </c>
      <c r="I105" t="n">
        <v>3</v>
      </c>
      <c r="J105" t="n">
        <v>1</v>
      </c>
      <c r="K105" t="n">
        <v>0</v>
      </c>
      <c r="M105" t="inlineStr">
        <is>
          <t>partially</t>
        </is>
      </c>
      <c r="N105" t="n">
        <v>2</v>
      </c>
      <c r="Q105" t="inlineStr">
        <is>
          <t>correct</t>
        </is>
      </c>
      <c r="R105" t="inlineStr">
        <is>
          <t>correct</t>
        </is>
      </c>
      <c r="S105" t="inlineStr">
        <is>
          <t>matches_completely</t>
        </is>
      </c>
      <c r="T105" t="inlineStr">
        <is>
          <t>correct</t>
        </is>
      </c>
      <c r="U105">
        <f>IF(T105="correct",1,0)</f>
        <v/>
      </c>
      <c r="V105">
        <f>VLOOKUP(A105,Participants!$A$2:$B$86,2,FALSE)</f>
        <v/>
      </c>
    </row>
    <row r="106">
      <c r="A106" t="inlineStr">
        <is>
          <t>user_0020</t>
        </is>
      </c>
      <c r="B106" t="inlineStr">
        <is>
          <t>C1</t>
        </is>
      </c>
      <c r="C106" t="inlineStr">
        <is>
          <t>C3</t>
        </is>
      </c>
      <c r="D106" t="n">
        <v>2</v>
      </c>
      <c r="E106" t="inlineStr">
        <is>
          <t>2026-03-21T10:19:19.735896+00:00</t>
        </is>
      </c>
      <c r="F106" t="inlineStr">
        <is>
          <t>2026-03-21T10:19:19.756554+00:00</t>
        </is>
      </c>
      <c r="G106" t="n">
        <v>4</v>
      </c>
      <c r="H106" t="n">
        <v>39.08</v>
      </c>
      <c r="I106" t="n">
        <v>1</v>
      </c>
      <c r="J106" t="n">
        <v>1</v>
      </c>
      <c r="K106" t="n">
        <v>1</v>
      </c>
      <c r="M106" t="inlineStr">
        <is>
          <t>matches_completely</t>
        </is>
      </c>
      <c r="N106" t="n">
        <v>5</v>
      </c>
      <c r="Q106" t="inlineStr">
        <is>
          <t>correct</t>
        </is>
      </c>
      <c r="R106" t="inlineStr">
        <is>
          <t>correct</t>
        </is>
      </c>
      <c r="S106" t="inlineStr">
        <is>
          <t>matches_completely</t>
        </is>
      </c>
      <c r="T106" t="inlineStr">
        <is>
          <t>correct</t>
        </is>
      </c>
      <c r="U106">
        <f>IF(T106="correct",1,0)</f>
        <v/>
      </c>
      <c r="V106">
        <f>VLOOKUP(A106,Participants!$A$2:$B$86,2,FALSE)</f>
        <v/>
      </c>
    </row>
    <row r="107">
      <c r="A107" t="inlineStr">
        <is>
          <t>user_0020</t>
        </is>
      </c>
      <c r="B107" t="inlineStr">
        <is>
          <t>S2</t>
        </is>
      </c>
      <c r="C107" t="inlineStr">
        <is>
          <t>C1</t>
        </is>
      </c>
      <c r="D107" t="n">
        <v>3</v>
      </c>
      <c r="E107" t="inlineStr">
        <is>
          <t>2026-03-21T10:24:19.598254+00:00</t>
        </is>
      </c>
      <c r="F107" t="inlineStr">
        <is>
          <t>2026-03-21T10:24:19.619017+00:00</t>
        </is>
      </c>
      <c r="G107" t="n">
        <v>4</v>
      </c>
      <c r="H107" t="n">
        <v>109.86</v>
      </c>
      <c r="I107" t="n">
        <v>1</v>
      </c>
      <c r="J107" t="n">
        <v>1</v>
      </c>
      <c r="K107" t="n">
        <v>1</v>
      </c>
      <c r="M107" t="inlineStr">
        <is>
          <t>matches_completely</t>
        </is>
      </c>
      <c r="N107" t="n">
        <v>5</v>
      </c>
      <c r="Q107" t="inlineStr">
        <is>
          <t>correct</t>
        </is>
      </c>
      <c r="R107" t="inlineStr">
        <is>
          <t>correct</t>
        </is>
      </c>
      <c r="S107" t="inlineStr">
        <is>
          <t>matches_completely</t>
        </is>
      </c>
      <c r="T107" t="inlineStr">
        <is>
          <t>correct</t>
        </is>
      </c>
      <c r="U107">
        <f>IF(T107="correct",1,0)</f>
        <v/>
      </c>
      <c r="V107">
        <f>VLOOKUP(A107,Participants!$A$2:$B$86,2,FALSE)</f>
        <v/>
      </c>
    </row>
    <row r="108">
      <c r="A108" t="inlineStr">
        <is>
          <t>user_0020</t>
        </is>
      </c>
      <c r="B108" t="inlineStr">
        <is>
          <t>M2</t>
        </is>
      </c>
      <c r="C108" t="inlineStr">
        <is>
          <t>C2</t>
        </is>
      </c>
      <c r="D108" t="n">
        <v>4</v>
      </c>
      <c r="E108" t="inlineStr">
        <is>
          <t>2026-03-21T10:28:15.452506+00:00</t>
        </is>
      </c>
      <c r="F108" t="inlineStr">
        <is>
          <t>2026-03-21T10:28:15.476199+00:00</t>
        </is>
      </c>
      <c r="G108" t="n">
        <v>8</v>
      </c>
      <c r="H108" t="n">
        <v>242.09</v>
      </c>
      <c r="I108" t="n">
        <v>2</v>
      </c>
      <c r="J108" t="n">
        <v>1</v>
      </c>
      <c r="K108" t="n">
        <v>1</v>
      </c>
      <c r="M108" t="inlineStr">
        <is>
          <t>partially</t>
        </is>
      </c>
      <c r="N108" t="n">
        <v>4</v>
      </c>
      <c r="Q108" t="inlineStr">
        <is>
          <t>correct</t>
        </is>
      </c>
      <c r="R108" t="inlineStr">
        <is>
          <t>correct</t>
        </is>
      </c>
      <c r="S108" t="inlineStr">
        <is>
          <t>matches_completely</t>
        </is>
      </c>
      <c r="T108" t="inlineStr">
        <is>
          <t>correct</t>
        </is>
      </c>
      <c r="U108">
        <f>IF(T108="correct",1,0)</f>
        <v/>
      </c>
      <c r="V108">
        <f>VLOOKUP(A108,Participants!$A$2:$B$86,2,FALSE)</f>
        <v/>
      </c>
    </row>
    <row r="109">
      <c r="A109" t="inlineStr">
        <is>
          <t>user_0020</t>
        </is>
      </c>
      <c r="B109" t="inlineStr">
        <is>
          <t>C2</t>
        </is>
      </c>
      <c r="C109" t="inlineStr">
        <is>
          <t>C3</t>
        </is>
      </c>
      <c r="D109" t="n">
        <v>5</v>
      </c>
      <c r="E109" t="inlineStr">
        <is>
          <t>2026-03-21T10:30:46.609869+00:00</t>
        </is>
      </c>
      <c r="F109" t="inlineStr">
        <is>
          <t>2026-03-21T10:30:46.630218+00:00</t>
        </is>
      </c>
      <c r="G109" t="n">
        <v>8</v>
      </c>
      <c r="H109" t="n">
        <v>110.66</v>
      </c>
      <c r="I109" t="n">
        <v>2</v>
      </c>
      <c r="J109" t="n">
        <v>1</v>
      </c>
      <c r="K109" t="n">
        <v>1</v>
      </c>
      <c r="M109" t="inlineStr">
        <is>
          <t>partially</t>
        </is>
      </c>
      <c r="N109" t="n">
        <v>4</v>
      </c>
      <c r="Q109" t="inlineStr">
        <is>
          <t>correct</t>
        </is>
      </c>
      <c r="R109" t="inlineStr">
        <is>
          <t>correct</t>
        </is>
      </c>
      <c r="S109" t="inlineStr">
        <is>
          <t>matches_completely</t>
        </is>
      </c>
      <c r="T109" t="inlineStr">
        <is>
          <t>correct</t>
        </is>
      </c>
      <c r="U109">
        <f>IF(T109="correct",1,0)</f>
        <v/>
      </c>
      <c r="V109">
        <f>VLOOKUP(A109,Participants!$A$2:$B$86,2,FALSE)</f>
        <v/>
      </c>
    </row>
    <row r="110">
      <c r="A110" t="inlineStr">
        <is>
          <t>user_0021</t>
        </is>
      </c>
      <c r="B110" t="inlineStr">
        <is>
          <t>S1</t>
        </is>
      </c>
      <c r="C110" t="inlineStr">
        <is>
          <t>C1</t>
        </is>
      </c>
      <c r="D110" t="n">
        <v>0</v>
      </c>
      <c r="E110" t="inlineStr">
        <is>
          <t>2026-03-24T10:28:35.750784+00:00</t>
        </is>
      </c>
      <c r="F110" t="inlineStr">
        <is>
          <t>2026-03-24T10:28:35.769195+00:00</t>
        </is>
      </c>
      <c r="G110" t="n">
        <v>4</v>
      </c>
      <c r="H110" t="n">
        <v>320.05</v>
      </c>
      <c r="I110" t="n">
        <v>1</v>
      </c>
      <c r="J110" t="n">
        <v>1</v>
      </c>
      <c r="K110" t="n">
        <v>1</v>
      </c>
      <c r="M110" t="inlineStr">
        <is>
          <t>matches_completely</t>
        </is>
      </c>
      <c r="N110" t="n">
        <v>4</v>
      </c>
      <c r="Q110" t="inlineStr">
        <is>
          <t>correct</t>
        </is>
      </c>
      <c r="R110" t="inlineStr">
        <is>
          <t>correct</t>
        </is>
      </c>
      <c r="S110" t="inlineStr">
        <is>
          <t>matches_completely</t>
        </is>
      </c>
      <c r="T110" t="inlineStr">
        <is>
          <t>correct</t>
        </is>
      </c>
      <c r="U110">
        <f>IF(T110="correct",1,0)</f>
        <v/>
      </c>
      <c r="V110">
        <f>VLOOKUP(A110,Participants!$A$2:$B$86,2,FALSE)</f>
        <v/>
      </c>
    </row>
    <row r="111">
      <c r="A111" t="inlineStr">
        <is>
          <t>user_0021</t>
        </is>
      </c>
      <c r="B111" t="inlineStr">
        <is>
          <t>M1</t>
        </is>
      </c>
      <c r="C111" t="inlineStr">
        <is>
          <t>C2</t>
        </is>
      </c>
      <c r="D111" t="n">
        <v>1</v>
      </c>
      <c r="E111" t="inlineStr">
        <is>
          <t>2026-03-24T10:37:55.942021+00:00</t>
        </is>
      </c>
      <c r="F111" t="inlineStr">
        <is>
          <t>2026-03-24T10:37:55.965818+00:00</t>
        </is>
      </c>
      <c r="G111" t="n">
        <v>12</v>
      </c>
      <c r="H111" t="n">
        <v>397.26</v>
      </c>
      <c r="I111" t="n">
        <v>2</v>
      </c>
      <c r="J111" t="n">
        <v>1</v>
      </c>
      <c r="K111" t="n">
        <v>1</v>
      </c>
      <c r="M111" t="inlineStr">
        <is>
          <t>partially</t>
        </is>
      </c>
      <c r="N111" t="n">
        <v>4</v>
      </c>
      <c r="Q111" t="inlineStr">
        <is>
          <t>correct</t>
        </is>
      </c>
      <c r="R111" t="inlineStr">
        <is>
          <t>correct</t>
        </is>
      </c>
      <c r="S111" t="inlineStr">
        <is>
          <t>does_not_match</t>
        </is>
      </c>
      <c r="T111" t="inlineStr">
        <is>
          <t>correct</t>
        </is>
      </c>
      <c r="U111">
        <f>IF(T111="correct",1,0)</f>
        <v/>
      </c>
      <c r="V111">
        <f>VLOOKUP(A111,Participants!$A$2:$B$86,2,FALSE)</f>
        <v/>
      </c>
    </row>
    <row r="112">
      <c r="A112" t="inlineStr">
        <is>
          <t>user_0021</t>
        </is>
      </c>
      <c r="B112" t="inlineStr">
        <is>
          <t>C1</t>
        </is>
      </c>
      <c r="C112" t="inlineStr">
        <is>
          <t>C3</t>
        </is>
      </c>
      <c r="D112" t="n">
        <v>2</v>
      </c>
      <c r="E112" t="inlineStr">
        <is>
          <t>2026-03-24T10:47:48.559089+00:00</t>
        </is>
      </c>
      <c r="F112" t="inlineStr">
        <is>
          <t>2026-03-24T10:47:48.580657+00:00</t>
        </is>
      </c>
      <c r="G112" t="n">
        <v>10</v>
      </c>
      <c r="H112" t="n">
        <v>540.6900000000001</v>
      </c>
      <c r="I112" t="n">
        <v>1</v>
      </c>
      <c r="J112" t="n">
        <v>1</v>
      </c>
      <c r="K112" t="n">
        <v>1</v>
      </c>
      <c r="M112" t="inlineStr">
        <is>
          <t>matches_completely</t>
        </is>
      </c>
      <c r="N112" t="n">
        <v>4</v>
      </c>
      <c r="Q112" t="inlineStr">
        <is>
          <t>correct</t>
        </is>
      </c>
      <c r="R112" t="inlineStr">
        <is>
          <t>correct</t>
        </is>
      </c>
      <c r="S112" t="inlineStr">
        <is>
          <t>does_not_match</t>
        </is>
      </c>
      <c r="T112" t="inlineStr">
        <is>
          <t>correct</t>
        </is>
      </c>
      <c r="U112">
        <f>IF(T112="correct",1,0)</f>
        <v/>
      </c>
      <c r="V112">
        <f>VLOOKUP(A112,Participants!$A$2:$B$86,2,FALSE)</f>
        <v/>
      </c>
    </row>
    <row r="113">
      <c r="A113" t="inlineStr">
        <is>
          <t>user_0021</t>
        </is>
      </c>
      <c r="B113" t="inlineStr">
        <is>
          <t>S2</t>
        </is>
      </c>
      <c r="C113" t="inlineStr">
        <is>
          <t>C1</t>
        </is>
      </c>
      <c r="D113" t="n">
        <v>3</v>
      </c>
      <c r="E113" t="inlineStr">
        <is>
          <t>2026-03-24T10:52:23.206913+00:00</t>
        </is>
      </c>
      <c r="F113" t="inlineStr">
        <is>
          <t>2026-03-24T10:52:23.228518+00:00</t>
        </is>
      </c>
      <c r="G113" t="n">
        <v>4</v>
      </c>
      <c r="H113" t="n">
        <v>63.77</v>
      </c>
      <c r="I113" t="n">
        <v>1</v>
      </c>
      <c r="J113" t="n">
        <v>1</v>
      </c>
      <c r="K113" t="n">
        <v>1</v>
      </c>
      <c r="M113" t="inlineStr">
        <is>
          <t>matches_completely</t>
        </is>
      </c>
      <c r="N113" t="n">
        <v>4</v>
      </c>
      <c r="Q113" t="inlineStr">
        <is>
          <t>correct</t>
        </is>
      </c>
      <c r="R113" t="inlineStr">
        <is>
          <t>correct</t>
        </is>
      </c>
      <c r="S113" t="inlineStr">
        <is>
          <t>matches_completely</t>
        </is>
      </c>
      <c r="T113" t="inlineStr">
        <is>
          <t>correct</t>
        </is>
      </c>
      <c r="U113">
        <f>IF(T113="correct",1,0)</f>
        <v/>
      </c>
      <c r="V113">
        <f>VLOOKUP(A113,Participants!$A$2:$B$86,2,FALSE)</f>
        <v/>
      </c>
    </row>
    <row r="114">
      <c r="A114" t="inlineStr">
        <is>
          <t>user_0021</t>
        </is>
      </c>
      <c r="B114" t="inlineStr">
        <is>
          <t>M2</t>
        </is>
      </c>
      <c r="C114" t="inlineStr">
        <is>
          <t>C2</t>
        </is>
      </c>
      <c r="D114" t="n">
        <v>4</v>
      </c>
      <c r="E114" t="inlineStr">
        <is>
          <t>2026-03-24T11:01:04.571504+00:00</t>
        </is>
      </c>
      <c r="F114" t="inlineStr">
        <is>
          <t>2026-03-24T11:01:04.589358+00:00</t>
        </is>
      </c>
      <c r="G114" t="n">
        <v>10</v>
      </c>
      <c r="H114" t="n">
        <v>298.95</v>
      </c>
      <c r="I114" t="n">
        <v>3</v>
      </c>
      <c r="J114" t="n">
        <v>1</v>
      </c>
      <c r="K114" t="n">
        <v>1</v>
      </c>
      <c r="M114" t="inlineStr">
        <is>
          <t>partially</t>
        </is>
      </c>
      <c r="N114" t="n">
        <v>4</v>
      </c>
      <c r="Q114" t="inlineStr">
        <is>
          <t>correct</t>
        </is>
      </c>
      <c r="R114" t="inlineStr">
        <is>
          <t>correct</t>
        </is>
      </c>
      <c r="S114" t="inlineStr">
        <is>
          <t>matches_completely</t>
        </is>
      </c>
      <c r="T114" t="inlineStr">
        <is>
          <t>correct</t>
        </is>
      </c>
      <c r="U114">
        <f>IF(T114="correct",1,0)</f>
        <v/>
      </c>
      <c r="V114">
        <f>VLOOKUP(A114,Participants!$A$2:$B$86,2,FALSE)</f>
        <v/>
      </c>
    </row>
    <row r="115">
      <c r="A115" t="inlineStr">
        <is>
          <t>user_0021</t>
        </is>
      </c>
      <c r="B115" t="inlineStr">
        <is>
          <t>C2</t>
        </is>
      </c>
      <c r="C115" t="inlineStr">
        <is>
          <t>C3</t>
        </is>
      </c>
      <c r="D115" t="n">
        <v>5</v>
      </c>
      <c r="E115" t="inlineStr">
        <is>
          <t>2026-03-24T11:04:41.382875+00:00</t>
        </is>
      </c>
      <c r="F115" t="inlineStr">
        <is>
          <t>2026-03-24T11:04:41.403204+00:00</t>
        </is>
      </c>
      <c r="G115" t="n">
        <v>4</v>
      </c>
      <c r="H115" t="n">
        <v>99.92</v>
      </c>
      <c r="I115" t="n">
        <v>1</v>
      </c>
      <c r="J115" t="n">
        <v>1</v>
      </c>
      <c r="K115" t="n">
        <v>1</v>
      </c>
      <c r="M115" t="inlineStr">
        <is>
          <t>matches_completely</t>
        </is>
      </c>
      <c r="N115" t="n">
        <v>5</v>
      </c>
      <c r="Q115" t="inlineStr">
        <is>
          <t>correct</t>
        </is>
      </c>
      <c r="R115" t="inlineStr">
        <is>
          <t>correct</t>
        </is>
      </c>
      <c r="S115" t="inlineStr">
        <is>
          <t>matches_completely</t>
        </is>
      </c>
      <c r="T115" t="inlineStr">
        <is>
          <t>correct</t>
        </is>
      </c>
      <c r="U115">
        <f>IF(T115="correct",1,0)</f>
        <v/>
      </c>
      <c r="V115">
        <f>VLOOKUP(A115,Participants!$A$2:$B$86,2,FALSE)</f>
        <v/>
      </c>
    </row>
    <row r="116">
      <c r="A116" t="inlineStr">
        <is>
          <t>user_0022</t>
        </is>
      </c>
      <c r="B116" t="inlineStr">
        <is>
          <t>S1</t>
        </is>
      </c>
      <c r="C116" t="inlineStr">
        <is>
          <t>C1</t>
        </is>
      </c>
      <c r="D116" t="n">
        <v>0</v>
      </c>
      <c r="E116" t="inlineStr">
        <is>
          <t>2026-03-24T10:27:45.198762+00:00</t>
        </is>
      </c>
      <c r="F116" t="inlineStr">
        <is>
          <t>2026-03-24T10:27:45.216789+00:00</t>
        </is>
      </c>
      <c r="G116" t="n">
        <v>10</v>
      </c>
      <c r="H116" t="n">
        <v>250.75</v>
      </c>
      <c r="I116" t="n">
        <v>3</v>
      </c>
      <c r="J116" t="n">
        <v>1</v>
      </c>
      <c r="K116" t="n">
        <v>1</v>
      </c>
      <c r="M116" t="inlineStr">
        <is>
          <t>matches_completely</t>
        </is>
      </c>
      <c r="N116" t="n">
        <v>4</v>
      </c>
      <c r="Q116" t="inlineStr">
        <is>
          <t>correct</t>
        </is>
      </c>
      <c r="R116" t="inlineStr">
        <is>
          <t>correct</t>
        </is>
      </c>
      <c r="S116" t="inlineStr">
        <is>
          <t>matches_completely</t>
        </is>
      </c>
      <c r="T116" t="inlineStr">
        <is>
          <t>correct</t>
        </is>
      </c>
      <c r="U116">
        <f>IF(T116="correct",1,0)</f>
        <v/>
      </c>
      <c r="V116">
        <f>VLOOKUP(A116,Participants!$A$2:$B$86,2,FALSE)</f>
        <v/>
      </c>
    </row>
    <row r="117">
      <c r="A117" t="inlineStr">
        <is>
          <t>user_0022</t>
        </is>
      </c>
      <c r="B117" t="inlineStr">
        <is>
          <t>M1</t>
        </is>
      </c>
      <c r="C117" t="inlineStr">
        <is>
          <t>C2</t>
        </is>
      </c>
      <c r="D117" t="n">
        <v>1</v>
      </c>
      <c r="E117" t="inlineStr">
        <is>
          <t>2026-03-24T10:30:31.905590+00:00</t>
        </is>
      </c>
      <c r="F117" t="inlineStr">
        <is>
          <t>2026-03-24T10:30:31.922925+00:00</t>
        </is>
      </c>
      <c r="G117" t="n">
        <v>6</v>
      </c>
      <c r="H117" t="n">
        <v>20</v>
      </c>
      <c r="I117" t="n">
        <v>1</v>
      </c>
      <c r="J117" t="n">
        <v>1</v>
      </c>
      <c r="K117" t="n">
        <v>1</v>
      </c>
      <c r="M117" t="inlineStr">
        <is>
          <t>matches_completely</t>
        </is>
      </c>
      <c r="N117" t="n">
        <v>3</v>
      </c>
      <c r="Q117" t="inlineStr">
        <is>
          <t>correct</t>
        </is>
      </c>
      <c r="R117" t="inlineStr">
        <is>
          <t>correct</t>
        </is>
      </c>
      <c r="S117" t="inlineStr">
        <is>
          <t>matches_completely</t>
        </is>
      </c>
      <c r="T117" t="inlineStr">
        <is>
          <t>correct</t>
        </is>
      </c>
      <c r="U117">
        <f>IF(T117="correct",1,0)</f>
        <v/>
      </c>
      <c r="V117">
        <f>VLOOKUP(A117,Participants!$A$2:$B$86,2,FALSE)</f>
        <v/>
      </c>
    </row>
    <row r="118">
      <c r="A118" t="inlineStr">
        <is>
          <t>user_0022</t>
        </is>
      </c>
      <c r="B118" t="inlineStr">
        <is>
          <t>C1</t>
        </is>
      </c>
      <c r="C118" t="inlineStr">
        <is>
          <t>C3</t>
        </is>
      </c>
      <c r="D118" t="n">
        <v>2</v>
      </c>
      <c r="E118" t="inlineStr">
        <is>
          <t>2026-03-24T10:31:45.182844+00:00</t>
        </is>
      </c>
      <c r="F118" t="inlineStr">
        <is>
          <t>2026-03-24T10:31:45.201243+00:00</t>
        </is>
      </c>
      <c r="G118" t="n">
        <v>4</v>
      </c>
      <c r="H118" t="n">
        <v>58.02</v>
      </c>
      <c r="I118" t="n">
        <v>1</v>
      </c>
      <c r="J118" t="n">
        <v>1</v>
      </c>
      <c r="K118" t="n">
        <v>1</v>
      </c>
      <c r="M118" t="inlineStr">
        <is>
          <t>matches_completely</t>
        </is>
      </c>
      <c r="N118" t="n">
        <v>5</v>
      </c>
      <c r="Q118" t="inlineStr">
        <is>
          <t>correct</t>
        </is>
      </c>
      <c r="R118" t="inlineStr">
        <is>
          <t>correct</t>
        </is>
      </c>
      <c r="S118" t="inlineStr">
        <is>
          <t>matches_completely</t>
        </is>
      </c>
      <c r="T118" t="inlineStr">
        <is>
          <t>correct</t>
        </is>
      </c>
      <c r="U118">
        <f>IF(T118="correct",1,0)</f>
        <v/>
      </c>
      <c r="V118">
        <f>VLOOKUP(A118,Participants!$A$2:$B$86,2,FALSE)</f>
        <v/>
      </c>
    </row>
    <row r="119">
      <c r="A119" t="inlineStr">
        <is>
          <t>user_0022</t>
        </is>
      </c>
      <c r="B119" t="inlineStr">
        <is>
          <t>S2</t>
        </is>
      </c>
      <c r="C119" t="inlineStr">
        <is>
          <t>C1</t>
        </is>
      </c>
      <c r="D119" t="n">
        <v>3</v>
      </c>
      <c r="E119" t="inlineStr">
        <is>
          <t>2026-03-24T10:37:51.333142+00:00</t>
        </is>
      </c>
      <c r="F119" t="inlineStr">
        <is>
          <t>2026-03-24T10:37:51.354536+00:00</t>
        </is>
      </c>
      <c r="G119" t="n">
        <v>7</v>
      </c>
      <c r="H119" t="n">
        <v>141.72</v>
      </c>
      <c r="I119" t="n">
        <v>2</v>
      </c>
      <c r="J119" t="n">
        <v>1</v>
      </c>
      <c r="K119" t="n">
        <v>1</v>
      </c>
      <c r="M119" t="inlineStr">
        <is>
          <t>partially</t>
        </is>
      </c>
      <c r="N119" t="n">
        <v>3</v>
      </c>
      <c r="Q119" t="inlineStr">
        <is>
          <t>correct</t>
        </is>
      </c>
      <c r="R119" t="inlineStr">
        <is>
          <t>correct</t>
        </is>
      </c>
      <c r="S119" t="inlineStr">
        <is>
          <t>partially</t>
        </is>
      </c>
      <c r="T119" t="inlineStr">
        <is>
          <t>correct</t>
        </is>
      </c>
      <c r="U119">
        <f>IF(T119="correct",1,0)</f>
        <v/>
      </c>
      <c r="V119">
        <f>VLOOKUP(A119,Participants!$A$2:$B$86,2,FALSE)</f>
        <v/>
      </c>
    </row>
    <row r="120">
      <c r="A120" t="inlineStr">
        <is>
          <t>user_0022</t>
        </is>
      </c>
      <c r="B120" t="inlineStr">
        <is>
          <t>M2</t>
        </is>
      </c>
      <c r="C120" t="inlineStr">
        <is>
          <t>C2</t>
        </is>
      </c>
      <c r="D120" t="n">
        <v>4</v>
      </c>
      <c r="E120" t="inlineStr">
        <is>
          <t>2026-03-24T10:42:30.104179+00:00</t>
        </is>
      </c>
      <c r="F120" t="inlineStr">
        <is>
          <t>2026-03-24T10:42:30.133710+00:00</t>
        </is>
      </c>
      <c r="G120" t="n">
        <v>8</v>
      </c>
      <c r="H120" t="n">
        <v>310.44</v>
      </c>
      <c r="I120" t="n">
        <v>1</v>
      </c>
      <c r="J120" t="n">
        <v>1</v>
      </c>
      <c r="K120" t="n">
        <v>1</v>
      </c>
      <c r="M120" t="inlineStr">
        <is>
          <t>partially</t>
        </is>
      </c>
      <c r="N120" t="n">
        <v>3</v>
      </c>
      <c r="Q120" t="inlineStr">
        <is>
          <t>correct</t>
        </is>
      </c>
      <c r="R120" t="inlineStr">
        <is>
          <t>correct</t>
        </is>
      </c>
      <c r="S120" t="inlineStr">
        <is>
          <t>does_not_match</t>
        </is>
      </c>
      <c r="T120" t="inlineStr">
        <is>
          <t>correct</t>
        </is>
      </c>
      <c r="U120">
        <f>IF(T120="correct",1,0)</f>
        <v/>
      </c>
      <c r="V120">
        <f>VLOOKUP(A120,Participants!$A$2:$B$86,2,FALSE)</f>
        <v/>
      </c>
    </row>
    <row r="121">
      <c r="A121" t="inlineStr">
        <is>
          <t>user_0022</t>
        </is>
      </c>
      <c r="B121" t="inlineStr">
        <is>
          <t>C2</t>
        </is>
      </c>
      <c r="C121" t="inlineStr">
        <is>
          <t>C3</t>
        </is>
      </c>
      <c r="D121" t="n">
        <v>5</v>
      </c>
      <c r="E121" t="inlineStr">
        <is>
          <t>2026-03-24T10:43:44.306871+00:00</t>
        </is>
      </c>
      <c r="F121" t="inlineStr">
        <is>
          <t>2026-03-24T10:43:44.323976+00:00</t>
        </is>
      </c>
      <c r="G121" t="n">
        <v>4</v>
      </c>
      <c r="H121" t="n">
        <v>95.56</v>
      </c>
      <c r="I121" t="n">
        <v>1</v>
      </c>
      <c r="J121" t="n">
        <v>1</v>
      </c>
      <c r="K121" t="n">
        <v>1</v>
      </c>
      <c r="M121" t="inlineStr">
        <is>
          <t>matches_completely</t>
        </is>
      </c>
      <c r="N121" t="n">
        <v>4</v>
      </c>
      <c r="Q121" t="inlineStr">
        <is>
          <t>correct</t>
        </is>
      </c>
      <c r="R121" t="inlineStr">
        <is>
          <t>correct</t>
        </is>
      </c>
      <c r="S121" t="inlineStr">
        <is>
          <t>matches_completely</t>
        </is>
      </c>
      <c r="T121" t="inlineStr">
        <is>
          <t>correct</t>
        </is>
      </c>
      <c r="U121">
        <f>IF(T121="correct",1,0)</f>
        <v/>
      </c>
      <c r="V121">
        <f>VLOOKUP(A121,Participants!$A$2:$B$86,2,FALSE)</f>
        <v/>
      </c>
    </row>
    <row r="122">
      <c r="A122" t="inlineStr">
        <is>
          <t>user_0023</t>
        </is>
      </c>
      <c r="B122" t="inlineStr">
        <is>
          <t>S1</t>
        </is>
      </c>
      <c r="C122" t="inlineStr">
        <is>
          <t>C1</t>
        </is>
      </c>
      <c r="D122" t="n">
        <v>0</v>
      </c>
      <c r="E122" t="inlineStr">
        <is>
          <t>2026-03-24T10:25:01.685201+00:00</t>
        </is>
      </c>
      <c r="F122" t="inlineStr">
        <is>
          <t>2026-03-24T10:25:01.701186+00:00</t>
        </is>
      </c>
      <c r="G122" t="n">
        <v>4</v>
      </c>
      <c r="H122" t="n">
        <v>20</v>
      </c>
      <c r="I122" t="n">
        <v>1</v>
      </c>
      <c r="J122" t="n">
        <v>1</v>
      </c>
      <c r="K122" t="n">
        <v>1</v>
      </c>
      <c r="M122" t="inlineStr">
        <is>
          <t>matches_completely</t>
        </is>
      </c>
      <c r="N122" t="n">
        <v>5</v>
      </c>
      <c r="Q122" t="inlineStr">
        <is>
          <t>correct</t>
        </is>
      </c>
      <c r="R122" t="inlineStr">
        <is>
          <t>correct</t>
        </is>
      </c>
      <c r="S122" t="inlineStr">
        <is>
          <t>matches_completely</t>
        </is>
      </c>
      <c r="T122" t="inlineStr">
        <is>
          <t>correct</t>
        </is>
      </c>
      <c r="U122">
        <f>IF(T122="correct",1,0)</f>
        <v/>
      </c>
      <c r="V122">
        <f>VLOOKUP(A122,Participants!$A$2:$B$86,2,FALSE)</f>
        <v/>
      </c>
    </row>
    <row r="123">
      <c r="A123" t="inlineStr">
        <is>
          <t>user_0023</t>
        </is>
      </c>
      <c r="B123" t="inlineStr">
        <is>
          <t>M1</t>
        </is>
      </c>
      <c r="C123" t="inlineStr">
        <is>
          <t>C2</t>
        </is>
      </c>
      <c r="D123" t="n">
        <v>1</v>
      </c>
      <c r="E123" t="inlineStr">
        <is>
          <t>2026-03-24T10:30:04.642549+00:00</t>
        </is>
      </c>
      <c r="F123" t="inlineStr">
        <is>
          <t>2026-03-24T10:30:04.659029+00:00</t>
        </is>
      </c>
      <c r="G123" t="n">
        <v>4</v>
      </c>
      <c r="H123" t="n">
        <v>90.8</v>
      </c>
      <c r="I123" t="n">
        <v>1</v>
      </c>
      <c r="J123" t="n">
        <v>1</v>
      </c>
      <c r="K123" t="n">
        <v>1</v>
      </c>
      <c r="M123" t="inlineStr">
        <is>
          <t>partially</t>
        </is>
      </c>
      <c r="N123" t="n">
        <v>4</v>
      </c>
      <c r="Q123" t="inlineStr">
        <is>
          <t>correct</t>
        </is>
      </c>
      <c r="R123" t="inlineStr">
        <is>
          <t>correct</t>
        </is>
      </c>
      <c r="S123" t="inlineStr">
        <is>
          <t>matches_completely</t>
        </is>
      </c>
      <c r="T123" t="inlineStr">
        <is>
          <t>correct</t>
        </is>
      </c>
      <c r="U123">
        <f>IF(T123="correct",1,0)</f>
        <v/>
      </c>
      <c r="V123">
        <f>VLOOKUP(A123,Participants!$A$2:$B$86,2,FALSE)</f>
        <v/>
      </c>
    </row>
    <row r="124">
      <c r="A124" t="inlineStr">
        <is>
          <t>user_0023</t>
        </is>
      </c>
      <c r="B124" t="inlineStr">
        <is>
          <t>C1</t>
        </is>
      </c>
      <c r="C124" t="inlineStr">
        <is>
          <t>C3</t>
        </is>
      </c>
      <c r="D124" t="n">
        <v>2</v>
      </c>
      <c r="E124" t="inlineStr">
        <is>
          <t>2026-03-24T10:31:55.804594+00:00</t>
        </is>
      </c>
      <c r="F124" t="inlineStr">
        <is>
          <t>2026-03-24T10:31:55.822190+00:00</t>
        </is>
      </c>
      <c r="G124" t="n">
        <v>4</v>
      </c>
      <c r="H124" t="n">
        <v>68.09</v>
      </c>
      <c r="I124" t="n">
        <v>1</v>
      </c>
      <c r="J124" t="n">
        <v>1</v>
      </c>
      <c r="K124" t="n">
        <v>1</v>
      </c>
      <c r="M124" t="inlineStr">
        <is>
          <t>matches_completely</t>
        </is>
      </c>
      <c r="N124" t="n">
        <v>4</v>
      </c>
      <c r="Q124" t="inlineStr">
        <is>
          <t>correct</t>
        </is>
      </c>
      <c r="R124" t="inlineStr">
        <is>
          <t>correct</t>
        </is>
      </c>
      <c r="S124" t="inlineStr">
        <is>
          <t>partially</t>
        </is>
      </c>
      <c r="T124" t="inlineStr">
        <is>
          <t>correct</t>
        </is>
      </c>
      <c r="U124">
        <f>IF(T124="correct",1,0)</f>
        <v/>
      </c>
      <c r="V124">
        <f>VLOOKUP(A124,Participants!$A$2:$B$86,2,FALSE)</f>
        <v/>
      </c>
    </row>
    <row r="125">
      <c r="A125" t="inlineStr">
        <is>
          <t>user_0023</t>
        </is>
      </c>
      <c r="B125" t="inlineStr">
        <is>
          <t>S2</t>
        </is>
      </c>
      <c r="C125" t="inlineStr">
        <is>
          <t>C1</t>
        </is>
      </c>
      <c r="D125" t="n">
        <v>3</v>
      </c>
      <c r="E125" t="inlineStr">
        <is>
          <t>2026-03-24T10:35:42.188612+00:00</t>
        </is>
      </c>
      <c r="F125" t="inlineStr">
        <is>
          <t>2026-03-24T10:35:42.205518+00:00</t>
        </is>
      </c>
      <c r="G125" t="n">
        <v>6</v>
      </c>
      <c r="H125" t="n">
        <v>86.53</v>
      </c>
      <c r="I125" t="n">
        <v>1</v>
      </c>
      <c r="J125" t="n">
        <v>1</v>
      </c>
      <c r="K125" t="n">
        <v>1</v>
      </c>
      <c r="M125" t="inlineStr">
        <is>
          <t>partially</t>
        </is>
      </c>
      <c r="N125" t="n">
        <v>4</v>
      </c>
      <c r="Q125" t="inlineStr">
        <is>
          <t>correct</t>
        </is>
      </c>
      <c r="R125" t="inlineStr">
        <is>
          <t>correct</t>
        </is>
      </c>
      <c r="S125" t="inlineStr">
        <is>
          <t>partially</t>
        </is>
      </c>
      <c r="T125" t="inlineStr">
        <is>
          <t>correct</t>
        </is>
      </c>
      <c r="U125">
        <f>IF(T125="correct",1,0)</f>
        <v/>
      </c>
      <c r="V125">
        <f>VLOOKUP(A125,Participants!$A$2:$B$86,2,FALSE)</f>
        <v/>
      </c>
    </row>
    <row r="126">
      <c r="A126" t="inlineStr">
        <is>
          <t>user_0023</t>
        </is>
      </c>
      <c r="B126" t="inlineStr">
        <is>
          <t>M2</t>
        </is>
      </c>
      <c r="C126" t="inlineStr">
        <is>
          <t>C2</t>
        </is>
      </c>
      <c r="D126" t="n">
        <v>4</v>
      </c>
      <c r="E126" t="inlineStr">
        <is>
          <t>2026-03-24T10:36:45.508574+00:00</t>
        </is>
      </c>
      <c r="F126" t="inlineStr">
        <is>
          <t>2026-03-24T10:36:45.526212+00:00</t>
        </is>
      </c>
      <c r="G126" t="n">
        <v>6</v>
      </c>
      <c r="H126" t="n">
        <v>90.77</v>
      </c>
      <c r="I126" t="n">
        <v>1</v>
      </c>
      <c r="J126" t="n">
        <v>1</v>
      </c>
      <c r="K126" t="n">
        <v>1</v>
      </c>
      <c r="M126" t="inlineStr">
        <is>
          <t>matches_completely</t>
        </is>
      </c>
      <c r="N126" t="n">
        <v>4</v>
      </c>
      <c r="Q126" t="inlineStr">
        <is>
          <t>correct</t>
        </is>
      </c>
      <c r="R126" t="inlineStr">
        <is>
          <t>correct</t>
        </is>
      </c>
      <c r="S126" t="inlineStr">
        <is>
          <t>does_not_match</t>
        </is>
      </c>
      <c r="T126" t="inlineStr">
        <is>
          <t>correct</t>
        </is>
      </c>
      <c r="U126">
        <f>IF(T126="correct",1,0)</f>
        <v/>
      </c>
      <c r="V126">
        <f>VLOOKUP(A126,Participants!$A$2:$B$86,2,FALSE)</f>
        <v/>
      </c>
    </row>
    <row r="127">
      <c r="A127" t="inlineStr">
        <is>
          <t>user_0023</t>
        </is>
      </c>
      <c r="B127" t="inlineStr">
        <is>
          <t>C2</t>
        </is>
      </c>
      <c r="C127" t="inlineStr">
        <is>
          <t>C3</t>
        </is>
      </c>
      <c r="D127" t="n">
        <v>5</v>
      </c>
      <c r="E127" t="inlineStr">
        <is>
          <t>2026-03-24T10:37:40.523959+00:00</t>
        </is>
      </c>
      <c r="F127" t="inlineStr">
        <is>
          <t>2026-03-24T10:37:40.544147+00:00</t>
        </is>
      </c>
      <c r="G127" t="n">
        <v>4</v>
      </c>
      <c r="H127" t="n">
        <v>78.41</v>
      </c>
      <c r="I127" t="n">
        <v>1</v>
      </c>
      <c r="J127" t="n">
        <v>1</v>
      </c>
      <c r="K127" t="n">
        <v>1</v>
      </c>
      <c r="M127" t="inlineStr">
        <is>
          <t>matches_completely</t>
        </is>
      </c>
      <c r="N127" t="n">
        <v>5</v>
      </c>
      <c r="Q127" t="inlineStr">
        <is>
          <t>correct</t>
        </is>
      </c>
      <c r="R127" t="inlineStr">
        <is>
          <t>correct</t>
        </is>
      </c>
      <c r="S127" t="inlineStr">
        <is>
          <t>matches_completely</t>
        </is>
      </c>
      <c r="T127" t="inlineStr">
        <is>
          <t>correct</t>
        </is>
      </c>
      <c r="U127">
        <f>IF(T127="correct",1,0)</f>
        <v/>
      </c>
      <c r="V127">
        <f>VLOOKUP(A127,Participants!$A$2:$B$86,2,FALSE)</f>
        <v/>
      </c>
    </row>
    <row r="128">
      <c r="A128" t="inlineStr">
        <is>
          <t>user_0024</t>
        </is>
      </c>
      <c r="B128" t="inlineStr">
        <is>
          <t>S1</t>
        </is>
      </c>
      <c r="C128" t="inlineStr">
        <is>
          <t>C1</t>
        </is>
      </c>
      <c r="D128" t="n">
        <v>0</v>
      </c>
      <c r="E128" t="inlineStr">
        <is>
          <t>2026-03-24T10:26:33.468194+00:00</t>
        </is>
      </c>
      <c r="F128" t="inlineStr">
        <is>
          <t>2026-03-24T10:26:33.489700+00:00</t>
        </is>
      </c>
      <c r="G128" t="n">
        <v>11</v>
      </c>
      <c r="H128" t="n">
        <v>147.12</v>
      </c>
      <c r="I128" t="n">
        <v>3</v>
      </c>
      <c r="J128" t="n">
        <v>1</v>
      </c>
      <c r="K128" t="n">
        <v>1</v>
      </c>
      <c r="M128" t="inlineStr">
        <is>
          <t>matches_completely</t>
        </is>
      </c>
      <c r="N128" t="n">
        <v>5</v>
      </c>
      <c r="Q128" t="inlineStr">
        <is>
          <t>correct</t>
        </is>
      </c>
      <c r="R128" t="inlineStr">
        <is>
          <t>correct</t>
        </is>
      </c>
      <c r="S128" t="inlineStr">
        <is>
          <t>matches_completely</t>
        </is>
      </c>
      <c r="T128" t="inlineStr">
        <is>
          <t>correct</t>
        </is>
      </c>
      <c r="U128">
        <f>IF(T128="correct",1,0)</f>
        <v/>
      </c>
      <c r="V128">
        <f>VLOOKUP(A128,Participants!$A$2:$B$86,2,FALSE)</f>
        <v/>
      </c>
    </row>
    <row r="129">
      <c r="A129" t="inlineStr">
        <is>
          <t>user_0024</t>
        </is>
      </c>
      <c r="B129" t="inlineStr">
        <is>
          <t>M1</t>
        </is>
      </c>
      <c r="C129" t="inlineStr">
        <is>
          <t>C2</t>
        </is>
      </c>
      <c r="D129" t="n">
        <v>1</v>
      </c>
      <c r="E129" t="inlineStr">
        <is>
          <t>2026-03-24T10:29:57.312193+00:00</t>
        </is>
      </c>
      <c r="F129" t="inlineStr">
        <is>
          <t>2026-03-24T10:29:57.330810+00:00</t>
        </is>
      </c>
      <c r="G129" t="n">
        <v>13</v>
      </c>
      <c r="H129" t="n">
        <v>90.88</v>
      </c>
      <c r="I129" t="n">
        <v>1</v>
      </c>
      <c r="J129" t="n">
        <v>1</v>
      </c>
      <c r="K129" t="n">
        <v>1</v>
      </c>
      <c r="M129" t="inlineStr">
        <is>
          <t>matches_completely</t>
        </is>
      </c>
      <c r="N129" t="n">
        <v>5</v>
      </c>
      <c r="Q129" t="inlineStr">
        <is>
          <t>correct</t>
        </is>
      </c>
      <c r="R129" t="inlineStr">
        <is>
          <t>correct</t>
        </is>
      </c>
      <c r="S129" t="inlineStr">
        <is>
          <t>matches_completely</t>
        </is>
      </c>
      <c r="T129" t="inlineStr">
        <is>
          <t>correct</t>
        </is>
      </c>
      <c r="U129">
        <f>IF(T129="correct",1,0)</f>
        <v/>
      </c>
      <c r="V129">
        <f>VLOOKUP(A129,Participants!$A$2:$B$86,2,FALSE)</f>
        <v/>
      </c>
    </row>
    <row r="130">
      <c r="A130" t="inlineStr">
        <is>
          <t>user_0024</t>
        </is>
      </c>
      <c r="B130" t="inlineStr">
        <is>
          <t>C1</t>
        </is>
      </c>
      <c r="C130" t="inlineStr">
        <is>
          <t>C3</t>
        </is>
      </c>
      <c r="D130" t="n">
        <v>2</v>
      </c>
      <c r="E130" t="inlineStr">
        <is>
          <t>2026-03-24T10:31:45.612654+00:00</t>
        </is>
      </c>
      <c r="F130" t="inlineStr">
        <is>
          <t>2026-03-24T10:31:45.632256+00:00</t>
        </is>
      </c>
      <c r="G130" t="n">
        <v>11</v>
      </c>
      <c r="H130" t="n">
        <v>114</v>
      </c>
      <c r="I130" t="n">
        <v>3</v>
      </c>
      <c r="J130" t="n">
        <v>1</v>
      </c>
      <c r="K130" t="n">
        <v>1</v>
      </c>
      <c r="M130" t="inlineStr">
        <is>
          <t>matches_completely</t>
        </is>
      </c>
      <c r="N130" t="n">
        <v>4</v>
      </c>
      <c r="Q130" t="inlineStr">
        <is>
          <t>correct</t>
        </is>
      </c>
      <c r="R130" t="inlineStr">
        <is>
          <t>correct</t>
        </is>
      </c>
      <c r="S130" t="inlineStr">
        <is>
          <t>matches_completely</t>
        </is>
      </c>
      <c r="T130" t="inlineStr">
        <is>
          <t>correct</t>
        </is>
      </c>
      <c r="U130">
        <f>IF(T130="correct",1,0)</f>
        <v/>
      </c>
      <c r="V130">
        <f>VLOOKUP(A130,Participants!$A$2:$B$86,2,FALSE)</f>
        <v/>
      </c>
    </row>
    <row r="131">
      <c r="A131" t="inlineStr">
        <is>
          <t>user_0024</t>
        </is>
      </c>
      <c r="B131" t="inlineStr">
        <is>
          <t>S2</t>
        </is>
      </c>
      <c r="C131" t="inlineStr">
        <is>
          <t>C1</t>
        </is>
      </c>
      <c r="D131" t="n">
        <v>3</v>
      </c>
      <c r="E131" t="inlineStr">
        <is>
          <t>2026-03-24T10:35:29.112811+00:00</t>
        </is>
      </c>
      <c r="F131" t="inlineStr">
        <is>
          <t>2026-03-24T10:35:29.145336+00:00</t>
        </is>
      </c>
      <c r="G131" t="n">
        <v>8</v>
      </c>
      <c r="H131" t="n">
        <v>98.88</v>
      </c>
      <c r="I131" t="n">
        <v>1</v>
      </c>
      <c r="J131" t="n">
        <v>1</v>
      </c>
      <c r="K131" t="n">
        <v>1</v>
      </c>
      <c r="M131" t="inlineStr">
        <is>
          <t>partially</t>
        </is>
      </c>
      <c r="N131" t="n">
        <v>3</v>
      </c>
      <c r="Q131" t="inlineStr">
        <is>
          <t>correct</t>
        </is>
      </c>
      <c r="R131" t="inlineStr">
        <is>
          <t>correct</t>
        </is>
      </c>
      <c r="S131" t="inlineStr">
        <is>
          <t>partially</t>
        </is>
      </c>
      <c r="T131" t="inlineStr">
        <is>
          <t>correct</t>
        </is>
      </c>
      <c r="U131">
        <f>IF(T131="correct",1,0)</f>
        <v/>
      </c>
      <c r="V131">
        <f>VLOOKUP(A131,Participants!$A$2:$B$86,2,FALSE)</f>
        <v/>
      </c>
    </row>
    <row r="132">
      <c r="A132" t="inlineStr">
        <is>
          <t>user_0024</t>
        </is>
      </c>
      <c r="B132" t="inlineStr">
        <is>
          <t>M2</t>
        </is>
      </c>
      <c r="C132" t="inlineStr">
        <is>
          <t>C2</t>
        </is>
      </c>
      <c r="D132" t="n">
        <v>4</v>
      </c>
      <c r="E132" t="inlineStr">
        <is>
          <t>2026-03-24T10:36:23.230235+00:00</t>
        </is>
      </c>
      <c r="F132" t="inlineStr">
        <is>
          <t>2026-03-24T10:36:23.247712+00:00</t>
        </is>
      </c>
      <c r="G132" t="n">
        <v>4</v>
      </c>
      <c r="H132" t="n">
        <v>88.34</v>
      </c>
      <c r="I132" t="n">
        <v>1</v>
      </c>
      <c r="J132" t="n">
        <v>1</v>
      </c>
      <c r="K132" t="n">
        <v>1</v>
      </c>
      <c r="M132" t="inlineStr">
        <is>
          <t>matches_completely</t>
        </is>
      </c>
      <c r="N132" t="n">
        <v>4</v>
      </c>
      <c r="Q132" t="inlineStr">
        <is>
          <t>correct</t>
        </is>
      </c>
      <c r="R132" t="inlineStr">
        <is>
          <t>correct</t>
        </is>
      </c>
      <c r="S132" t="inlineStr">
        <is>
          <t>matches_completely</t>
        </is>
      </c>
      <c r="T132" t="inlineStr">
        <is>
          <t>correct</t>
        </is>
      </c>
      <c r="U132">
        <f>IF(T132="correct",1,0)</f>
        <v/>
      </c>
      <c r="V132">
        <f>VLOOKUP(A132,Participants!$A$2:$B$86,2,FALSE)</f>
        <v/>
      </c>
    </row>
    <row r="133">
      <c r="A133" t="inlineStr">
        <is>
          <t>user_0024</t>
        </is>
      </c>
      <c r="B133" t="inlineStr">
        <is>
          <t>C2</t>
        </is>
      </c>
      <c r="C133" t="inlineStr">
        <is>
          <t>C3</t>
        </is>
      </c>
      <c r="D133" t="n">
        <v>5</v>
      </c>
      <c r="E133" t="inlineStr">
        <is>
          <t>2026-03-24T10:37:26.928086+00:00</t>
        </is>
      </c>
      <c r="F133" t="inlineStr">
        <is>
          <t>2026-03-24T10:37:26.946440+00:00</t>
        </is>
      </c>
      <c r="G133" t="n">
        <v>7</v>
      </c>
      <c r="H133" t="n">
        <v>91.56</v>
      </c>
      <c r="I133" t="n">
        <v>2</v>
      </c>
      <c r="J133" t="n">
        <v>1</v>
      </c>
      <c r="K133" t="n">
        <v>1</v>
      </c>
      <c r="M133" t="inlineStr">
        <is>
          <t>matches_completely</t>
        </is>
      </c>
      <c r="N133" t="n">
        <v>5</v>
      </c>
      <c r="Q133" t="inlineStr">
        <is>
          <t>correct</t>
        </is>
      </c>
      <c r="R133" t="inlineStr">
        <is>
          <t>correct</t>
        </is>
      </c>
      <c r="S133" t="inlineStr">
        <is>
          <t>matches_completely</t>
        </is>
      </c>
      <c r="T133" t="inlineStr">
        <is>
          <t>correct</t>
        </is>
      </c>
      <c r="U133">
        <f>IF(T133="correct",1,0)</f>
        <v/>
      </c>
      <c r="V133">
        <f>VLOOKUP(A133,Participants!$A$2:$B$86,2,FALSE)</f>
        <v/>
      </c>
    </row>
    <row r="134">
      <c r="A134" t="inlineStr">
        <is>
          <t>user_0026</t>
        </is>
      </c>
      <c r="B134" t="inlineStr">
        <is>
          <t>S1</t>
        </is>
      </c>
      <c r="C134" t="inlineStr">
        <is>
          <t>C1</t>
        </is>
      </c>
      <c r="D134" t="n">
        <v>0</v>
      </c>
      <c r="E134" t="inlineStr">
        <is>
          <t>2026-03-24T10:25:58.142859+00:00</t>
        </is>
      </c>
      <c r="F134" t="inlineStr">
        <is>
          <t>2026-03-24T10:25:58.161345+00:00</t>
        </is>
      </c>
      <c r="G134" t="n">
        <v>4</v>
      </c>
      <c r="H134" t="n">
        <v>20</v>
      </c>
      <c r="I134" t="n">
        <v>2</v>
      </c>
      <c r="J134" t="n">
        <v>1</v>
      </c>
      <c r="K134" t="n">
        <v>1</v>
      </c>
      <c r="M134" t="inlineStr">
        <is>
          <t>matches_completely</t>
        </is>
      </c>
      <c r="N134" t="n">
        <v>4</v>
      </c>
      <c r="Q134" t="inlineStr">
        <is>
          <t>correct</t>
        </is>
      </c>
      <c r="R134" t="inlineStr">
        <is>
          <t>correct</t>
        </is>
      </c>
      <c r="T134" t="inlineStr">
        <is>
          <t>correct</t>
        </is>
      </c>
      <c r="U134">
        <f>IF(T134="correct",1,0)</f>
        <v/>
      </c>
      <c r="V134">
        <f>VLOOKUP(A134,Participants!$A$2:$B$86,2,FALSE)</f>
        <v/>
      </c>
    </row>
    <row r="135">
      <c r="A135" t="inlineStr">
        <is>
          <t>user_0026</t>
        </is>
      </c>
      <c r="B135" t="inlineStr">
        <is>
          <t>M1</t>
        </is>
      </c>
      <c r="C135" t="inlineStr">
        <is>
          <t>C2</t>
        </is>
      </c>
      <c r="D135" t="n">
        <v>1</v>
      </c>
      <c r="E135" t="inlineStr">
        <is>
          <t>2026-03-24T10:27:02.195330+00:00</t>
        </is>
      </c>
      <c r="F135" t="inlineStr">
        <is>
          <t>2026-03-24T10:27:02.212909+00:00</t>
        </is>
      </c>
      <c r="G135" t="n">
        <v>4</v>
      </c>
      <c r="H135" t="n">
        <v>20</v>
      </c>
      <c r="I135" t="n">
        <v>1</v>
      </c>
      <c r="J135" t="n">
        <v>1</v>
      </c>
      <c r="K135" t="n">
        <v>1</v>
      </c>
      <c r="M135" t="inlineStr">
        <is>
          <t>partially</t>
        </is>
      </c>
      <c r="N135" t="n">
        <v>4</v>
      </c>
      <c r="Q135" t="inlineStr">
        <is>
          <t>correct</t>
        </is>
      </c>
      <c r="R135" t="inlineStr">
        <is>
          <t>correct</t>
        </is>
      </c>
      <c r="T135" t="inlineStr">
        <is>
          <t>correct</t>
        </is>
      </c>
      <c r="U135">
        <f>IF(T135="correct",1,0)</f>
        <v/>
      </c>
      <c r="V135">
        <f>VLOOKUP(A135,Participants!$A$2:$B$86,2,FALSE)</f>
        <v/>
      </c>
    </row>
    <row r="136">
      <c r="A136" t="inlineStr">
        <is>
          <t>user_0026</t>
        </is>
      </c>
      <c r="B136" t="inlineStr">
        <is>
          <t>C1</t>
        </is>
      </c>
      <c r="C136" t="inlineStr">
        <is>
          <t>C3</t>
        </is>
      </c>
      <c r="D136" t="n">
        <v>2</v>
      </c>
      <c r="E136" t="inlineStr">
        <is>
          <t>2026-03-24T10:28:19.663047+00:00</t>
        </is>
      </c>
      <c r="F136" t="inlineStr">
        <is>
          <t>2026-03-24T10:28:19.684076+00:00</t>
        </is>
      </c>
      <c r="G136" t="n">
        <v>7</v>
      </c>
      <c r="H136" t="n">
        <v>77.66</v>
      </c>
      <c r="I136" t="n">
        <v>2</v>
      </c>
      <c r="J136" t="n">
        <v>1</v>
      </c>
      <c r="K136" t="n">
        <v>1</v>
      </c>
      <c r="M136" t="inlineStr">
        <is>
          <t>matches_completely</t>
        </is>
      </c>
      <c r="N136" t="n">
        <v>5</v>
      </c>
      <c r="Q136" t="inlineStr">
        <is>
          <t>correct</t>
        </is>
      </c>
      <c r="R136" t="inlineStr">
        <is>
          <t>correct</t>
        </is>
      </c>
      <c r="T136" t="inlineStr">
        <is>
          <t>correct</t>
        </is>
      </c>
      <c r="U136">
        <f>IF(T136="correct",1,0)</f>
        <v/>
      </c>
      <c r="V136">
        <f>VLOOKUP(A136,Participants!$A$2:$B$86,2,FALSE)</f>
        <v/>
      </c>
    </row>
    <row r="137">
      <c r="A137" t="inlineStr">
        <is>
          <t>user_0026</t>
        </is>
      </c>
      <c r="B137" t="inlineStr">
        <is>
          <t>S2</t>
        </is>
      </c>
      <c r="C137" t="inlineStr">
        <is>
          <t>C1</t>
        </is>
      </c>
      <c r="D137" t="n">
        <v>3</v>
      </c>
      <c r="E137" t="inlineStr">
        <is>
          <t>2026-03-24T10:32:54.693666+00:00</t>
        </is>
      </c>
      <c r="F137" t="inlineStr">
        <is>
          <t>2026-03-24T10:32:54.709853+00:00</t>
        </is>
      </c>
      <c r="G137" t="n">
        <v>4</v>
      </c>
      <c r="H137" t="n">
        <v>56.62</v>
      </c>
      <c r="I137" t="n">
        <v>1</v>
      </c>
      <c r="J137" t="n">
        <v>1</v>
      </c>
      <c r="K137" t="n">
        <v>1</v>
      </c>
      <c r="M137" t="inlineStr">
        <is>
          <t>matches_completely</t>
        </is>
      </c>
      <c r="N137" t="n">
        <v>5</v>
      </c>
      <c r="Q137" t="inlineStr">
        <is>
          <t>correct</t>
        </is>
      </c>
      <c r="R137" t="inlineStr">
        <is>
          <t>correct</t>
        </is>
      </c>
      <c r="T137" t="inlineStr">
        <is>
          <t>correct</t>
        </is>
      </c>
      <c r="U137">
        <f>IF(T137="correct",1,0)</f>
        <v/>
      </c>
      <c r="V137">
        <f>VLOOKUP(A137,Participants!$A$2:$B$86,2,FALSE)</f>
        <v/>
      </c>
    </row>
    <row r="138">
      <c r="A138" t="inlineStr">
        <is>
          <t>user_0026</t>
        </is>
      </c>
      <c r="B138" t="inlineStr">
        <is>
          <t>M2</t>
        </is>
      </c>
      <c r="C138" t="inlineStr">
        <is>
          <t>C2</t>
        </is>
      </c>
      <c r="D138" t="n">
        <v>4</v>
      </c>
      <c r="E138" t="inlineStr">
        <is>
          <t>2026-03-24T10:33:35.796959+00:00</t>
        </is>
      </c>
      <c r="F138" t="inlineStr">
        <is>
          <t>2026-03-24T10:33:35.819807+00:00</t>
        </is>
      </c>
      <c r="G138" t="n">
        <v>4</v>
      </c>
      <c r="H138" t="n">
        <v>76.84</v>
      </c>
      <c r="I138" t="n">
        <v>1</v>
      </c>
      <c r="J138" t="n">
        <v>1</v>
      </c>
      <c r="K138" t="n">
        <v>1</v>
      </c>
      <c r="M138" t="inlineStr">
        <is>
          <t>partially</t>
        </is>
      </c>
      <c r="N138" t="n">
        <v>4</v>
      </c>
      <c r="Q138" t="inlineStr">
        <is>
          <t>correct</t>
        </is>
      </c>
      <c r="R138" t="inlineStr">
        <is>
          <t>correct</t>
        </is>
      </c>
      <c r="T138" t="inlineStr">
        <is>
          <t>correct</t>
        </is>
      </c>
      <c r="U138">
        <f>IF(T138="correct",1,0)</f>
        <v/>
      </c>
      <c r="V138">
        <f>VLOOKUP(A138,Participants!$A$2:$B$86,2,FALSE)</f>
        <v/>
      </c>
    </row>
    <row r="139">
      <c r="A139" t="inlineStr">
        <is>
          <t>user_0026</t>
        </is>
      </c>
      <c r="B139" t="inlineStr">
        <is>
          <t>C2</t>
        </is>
      </c>
      <c r="C139" t="inlineStr">
        <is>
          <t>C3</t>
        </is>
      </c>
      <c r="D139" t="n">
        <v>5</v>
      </c>
      <c r="E139" t="inlineStr">
        <is>
          <t>2026-03-24T10:34:46.357672+00:00</t>
        </is>
      </c>
      <c r="F139" t="inlineStr">
        <is>
          <t>2026-03-24T10:34:46.379122+00:00</t>
        </is>
      </c>
      <c r="G139" t="n">
        <v>4</v>
      </c>
      <c r="H139" t="n">
        <v>60.19</v>
      </c>
      <c r="I139" t="n">
        <v>1</v>
      </c>
      <c r="J139" t="n">
        <v>1</v>
      </c>
      <c r="K139" t="n">
        <v>1</v>
      </c>
      <c r="M139" t="inlineStr">
        <is>
          <t>partially</t>
        </is>
      </c>
      <c r="N139" t="n">
        <v>4</v>
      </c>
      <c r="Q139" t="inlineStr">
        <is>
          <t>correct</t>
        </is>
      </c>
      <c r="R139" t="inlineStr">
        <is>
          <t>incorrect</t>
        </is>
      </c>
      <c r="T139" t="inlineStr">
        <is>
          <t>correct</t>
        </is>
      </c>
      <c r="U139">
        <f>IF(T139="correct",1,0)</f>
        <v/>
      </c>
      <c r="V139">
        <f>VLOOKUP(A139,Participants!$A$2:$B$86,2,FALSE)</f>
        <v/>
      </c>
    </row>
    <row r="140">
      <c r="A140" t="inlineStr">
        <is>
          <t>user_0027</t>
        </is>
      </c>
      <c r="B140" t="inlineStr">
        <is>
          <t>S1</t>
        </is>
      </c>
      <c r="C140" t="inlineStr">
        <is>
          <t>C1</t>
        </is>
      </c>
      <c r="D140" t="n">
        <v>0</v>
      </c>
      <c r="E140" t="inlineStr">
        <is>
          <t>2026-03-24T10:24:00.541913+00:00</t>
        </is>
      </c>
      <c r="F140" t="inlineStr">
        <is>
          <t>2026-03-24T10:24:00.558778+00:00</t>
        </is>
      </c>
      <c r="G140" t="n">
        <v>4</v>
      </c>
      <c r="H140" t="n">
        <v>83.16</v>
      </c>
      <c r="I140" t="n">
        <v>1</v>
      </c>
      <c r="J140" t="n">
        <v>1</v>
      </c>
      <c r="K140" t="n">
        <v>1</v>
      </c>
      <c r="M140" t="inlineStr">
        <is>
          <t>matches_completely</t>
        </is>
      </c>
      <c r="N140" t="n">
        <v>3</v>
      </c>
      <c r="Q140" t="inlineStr">
        <is>
          <t>correct</t>
        </is>
      </c>
      <c r="R140" t="inlineStr">
        <is>
          <t>correct</t>
        </is>
      </c>
      <c r="S140" t="inlineStr">
        <is>
          <t>matches_completely</t>
        </is>
      </c>
      <c r="T140" t="inlineStr">
        <is>
          <t>correct</t>
        </is>
      </c>
      <c r="U140">
        <f>IF(T140="correct",1,0)</f>
        <v/>
      </c>
      <c r="V140">
        <f>VLOOKUP(A140,Participants!$A$2:$B$86,2,FALSE)</f>
        <v/>
      </c>
    </row>
    <row r="141">
      <c r="A141" t="inlineStr">
        <is>
          <t>user_0027</t>
        </is>
      </c>
      <c r="B141" t="inlineStr">
        <is>
          <t>M1</t>
        </is>
      </c>
      <c r="C141" t="inlineStr">
        <is>
          <t>C2</t>
        </is>
      </c>
      <c r="D141" t="n">
        <v>1</v>
      </c>
      <c r="E141" t="inlineStr">
        <is>
          <t>2026-03-24T10:30:23.264998+00:00</t>
        </is>
      </c>
      <c r="F141" t="inlineStr">
        <is>
          <t>2026-03-24T10:30:23.283175+00:00</t>
        </is>
      </c>
      <c r="G141" t="n">
        <v>8</v>
      </c>
      <c r="H141" t="n">
        <v>203.83</v>
      </c>
      <c r="I141" t="n">
        <v>2</v>
      </c>
      <c r="J141" t="n">
        <v>1</v>
      </c>
      <c r="K141" t="n">
        <v>1</v>
      </c>
      <c r="M141" t="inlineStr">
        <is>
          <t>matches_completely</t>
        </is>
      </c>
      <c r="N141" t="n">
        <v>5</v>
      </c>
      <c r="Q141" t="inlineStr">
        <is>
          <t>correct</t>
        </is>
      </c>
      <c r="R141" t="inlineStr">
        <is>
          <t>correct</t>
        </is>
      </c>
      <c r="S141" t="inlineStr">
        <is>
          <t>matches_completely</t>
        </is>
      </c>
      <c r="T141" t="inlineStr">
        <is>
          <t>correct</t>
        </is>
      </c>
      <c r="U141">
        <f>IF(T141="correct",1,0)</f>
        <v/>
      </c>
      <c r="V141">
        <f>VLOOKUP(A141,Participants!$A$2:$B$86,2,FALSE)</f>
        <v/>
      </c>
    </row>
    <row r="142">
      <c r="A142" t="inlineStr">
        <is>
          <t>user_0027</t>
        </is>
      </c>
      <c r="B142" t="inlineStr">
        <is>
          <t>C1</t>
        </is>
      </c>
      <c r="C142" t="inlineStr">
        <is>
          <t>C3</t>
        </is>
      </c>
      <c r="D142" t="n">
        <v>2</v>
      </c>
      <c r="E142" t="inlineStr">
        <is>
          <t>2026-03-24T10:33:36.142873+00:00</t>
        </is>
      </c>
      <c r="F142" t="inlineStr">
        <is>
          <t>2026-03-24T10:33:36.160895+00:00</t>
        </is>
      </c>
      <c r="G142" t="n">
        <v>8</v>
      </c>
      <c r="H142" t="n">
        <v>143.41</v>
      </c>
      <c r="I142" t="n">
        <v>2</v>
      </c>
      <c r="J142" t="n">
        <v>1</v>
      </c>
      <c r="K142" t="n">
        <v>1</v>
      </c>
      <c r="M142" t="inlineStr">
        <is>
          <t>matches_completely</t>
        </is>
      </c>
      <c r="N142" t="n">
        <v>4</v>
      </c>
      <c r="Q142" t="inlineStr">
        <is>
          <t>correct</t>
        </is>
      </c>
      <c r="R142" t="inlineStr">
        <is>
          <t>correct</t>
        </is>
      </c>
      <c r="S142" t="inlineStr">
        <is>
          <t>matches_completely</t>
        </is>
      </c>
      <c r="T142" t="inlineStr">
        <is>
          <t>correct</t>
        </is>
      </c>
      <c r="U142">
        <f>IF(T142="correct",1,0)</f>
        <v/>
      </c>
      <c r="V142">
        <f>VLOOKUP(A142,Participants!$A$2:$B$86,2,FALSE)</f>
        <v/>
      </c>
    </row>
    <row r="143">
      <c r="A143" t="inlineStr">
        <is>
          <t>user_0027</t>
        </is>
      </c>
      <c r="B143" t="inlineStr">
        <is>
          <t>S2</t>
        </is>
      </c>
      <c r="C143" t="inlineStr">
        <is>
          <t>C1</t>
        </is>
      </c>
      <c r="D143" t="n">
        <v>3</v>
      </c>
      <c r="E143" t="inlineStr">
        <is>
          <t>2026-03-24T10:36:57.666452+00:00</t>
        </is>
      </c>
      <c r="F143" t="inlineStr">
        <is>
          <t>2026-03-24T10:36:57.685418+00:00</t>
        </is>
      </c>
      <c r="G143" t="n">
        <v>4</v>
      </c>
      <c r="H143" t="n">
        <v>59.56</v>
      </c>
      <c r="I143" t="n">
        <v>1</v>
      </c>
      <c r="J143" t="n">
        <v>1</v>
      </c>
      <c r="K143" t="n">
        <v>1</v>
      </c>
      <c r="M143" t="inlineStr">
        <is>
          <t>matches_completely</t>
        </is>
      </c>
      <c r="N143" t="n">
        <v>3</v>
      </c>
      <c r="Q143" t="inlineStr">
        <is>
          <t>correct</t>
        </is>
      </c>
      <c r="R143" t="inlineStr">
        <is>
          <t>correct</t>
        </is>
      </c>
      <c r="S143" t="inlineStr">
        <is>
          <t>matches_completely</t>
        </is>
      </c>
      <c r="T143" t="inlineStr">
        <is>
          <t>correct</t>
        </is>
      </c>
      <c r="U143">
        <f>IF(T143="correct",1,0)</f>
        <v/>
      </c>
      <c r="V143">
        <f>VLOOKUP(A143,Participants!$A$2:$B$86,2,FALSE)</f>
        <v/>
      </c>
    </row>
    <row r="144">
      <c r="A144" t="inlineStr">
        <is>
          <t>user_0027</t>
        </is>
      </c>
      <c r="B144" t="inlineStr">
        <is>
          <t>M2</t>
        </is>
      </c>
      <c r="C144" t="inlineStr">
        <is>
          <t>C2</t>
        </is>
      </c>
      <c r="D144" t="n">
        <v>4</v>
      </c>
      <c r="E144" t="inlineStr">
        <is>
          <t>2026-03-24T10:42:28.573295+00:00</t>
        </is>
      </c>
      <c r="F144" t="inlineStr">
        <is>
          <t>2026-03-24T10:42:28.597715+00:00</t>
        </is>
      </c>
      <c r="G144" t="n">
        <v>7</v>
      </c>
      <c r="H144" t="n">
        <v>354.31</v>
      </c>
      <c r="I144" t="n">
        <v>2</v>
      </c>
      <c r="J144" t="n">
        <v>1</v>
      </c>
      <c r="K144" t="n">
        <v>1</v>
      </c>
      <c r="M144" t="inlineStr">
        <is>
          <t>matches_completely</t>
        </is>
      </c>
      <c r="N144" t="n">
        <v>3</v>
      </c>
      <c r="Q144" t="inlineStr">
        <is>
          <t>correct</t>
        </is>
      </c>
      <c r="R144" t="inlineStr">
        <is>
          <t>correct</t>
        </is>
      </c>
      <c r="S144" t="inlineStr">
        <is>
          <t>matches_completely</t>
        </is>
      </c>
      <c r="T144" t="inlineStr">
        <is>
          <t>correct</t>
        </is>
      </c>
      <c r="U144">
        <f>IF(T144="correct",1,0)</f>
        <v/>
      </c>
      <c r="V144">
        <f>VLOOKUP(A144,Participants!$A$2:$B$86,2,FALSE)</f>
        <v/>
      </c>
    </row>
    <row r="145">
      <c r="A145" t="inlineStr">
        <is>
          <t>user_0027</t>
        </is>
      </c>
      <c r="B145" t="inlineStr">
        <is>
          <t>C2</t>
        </is>
      </c>
      <c r="C145" t="inlineStr">
        <is>
          <t>C3</t>
        </is>
      </c>
      <c r="D145" t="n">
        <v>5</v>
      </c>
      <c r="E145" t="inlineStr">
        <is>
          <t>2026-03-24T10:43:34.522081+00:00</t>
        </is>
      </c>
      <c r="F145" t="inlineStr">
        <is>
          <t>2026-03-24T10:43:34.545274+00:00</t>
        </is>
      </c>
      <c r="G145" t="n">
        <v>4</v>
      </c>
      <c r="H145" t="n">
        <v>76.89</v>
      </c>
      <c r="I145" t="n">
        <v>1</v>
      </c>
      <c r="J145" t="n">
        <v>1</v>
      </c>
      <c r="K145" t="n">
        <v>1</v>
      </c>
      <c r="M145" t="inlineStr">
        <is>
          <t>partially</t>
        </is>
      </c>
      <c r="N145" t="n">
        <v>3</v>
      </c>
      <c r="Q145" t="inlineStr">
        <is>
          <t>correct</t>
        </is>
      </c>
      <c r="R145" t="inlineStr">
        <is>
          <t>incorrect</t>
        </is>
      </c>
      <c r="S145" t="inlineStr">
        <is>
          <t>matches_completely</t>
        </is>
      </c>
      <c r="T145" t="inlineStr">
        <is>
          <t>correct</t>
        </is>
      </c>
      <c r="U145">
        <f>IF(T145="correct",1,0)</f>
        <v/>
      </c>
      <c r="V145">
        <f>VLOOKUP(A145,Participants!$A$2:$B$86,2,FALSE)</f>
        <v/>
      </c>
    </row>
    <row r="146">
      <c r="A146" t="inlineStr">
        <is>
          <t>user_0028</t>
        </is>
      </c>
      <c r="B146" t="inlineStr">
        <is>
          <t>S1</t>
        </is>
      </c>
      <c r="C146" t="inlineStr">
        <is>
          <t>C1</t>
        </is>
      </c>
      <c r="D146" t="n">
        <v>0</v>
      </c>
      <c r="E146" t="inlineStr">
        <is>
          <t>2026-03-24T10:22:08.756700+00:00</t>
        </is>
      </c>
      <c r="F146" t="inlineStr">
        <is>
          <t>2026-03-24T10:22:08.775279+00:00</t>
        </is>
      </c>
      <c r="G146" t="n">
        <v>4</v>
      </c>
      <c r="H146" t="n">
        <v>20</v>
      </c>
      <c r="I146" t="n">
        <v>1</v>
      </c>
      <c r="J146" t="n">
        <v>1</v>
      </c>
      <c r="K146" t="n">
        <v>1</v>
      </c>
      <c r="M146" t="inlineStr">
        <is>
          <t>matches_completely</t>
        </is>
      </c>
      <c r="N146" t="n">
        <v>3</v>
      </c>
      <c r="Q146" t="inlineStr">
        <is>
          <t>correct</t>
        </is>
      </c>
      <c r="R146" t="inlineStr">
        <is>
          <t>correct</t>
        </is>
      </c>
      <c r="S146" t="inlineStr">
        <is>
          <t>matches_completely</t>
        </is>
      </c>
      <c r="T146" t="inlineStr">
        <is>
          <t>correct</t>
        </is>
      </c>
      <c r="U146">
        <f>IF(T146="correct",1,0)</f>
        <v/>
      </c>
      <c r="V146">
        <f>VLOOKUP(A146,Participants!$A$2:$B$86,2,FALSE)</f>
        <v/>
      </c>
    </row>
    <row r="147">
      <c r="A147" t="inlineStr">
        <is>
          <t>user_0028</t>
        </is>
      </c>
      <c r="B147" t="inlineStr">
        <is>
          <t>M1</t>
        </is>
      </c>
      <c r="C147" t="inlineStr">
        <is>
          <t>C2</t>
        </is>
      </c>
      <c r="D147" t="n">
        <v>1</v>
      </c>
      <c r="E147" t="inlineStr">
        <is>
          <t>2026-03-24T10:30:28.179324+00:00</t>
        </is>
      </c>
      <c r="F147" t="inlineStr">
        <is>
          <t>2026-03-24T10:30:28.201875+00:00</t>
        </is>
      </c>
      <c r="G147" t="n">
        <v>11</v>
      </c>
      <c r="H147" t="n">
        <v>240.56</v>
      </c>
      <c r="I147" t="n">
        <v>1</v>
      </c>
      <c r="J147" t="n">
        <v>1</v>
      </c>
      <c r="K147" t="n">
        <v>1</v>
      </c>
      <c r="M147" t="inlineStr">
        <is>
          <t>partially</t>
        </is>
      </c>
      <c r="N147" t="n">
        <v>4</v>
      </c>
      <c r="Q147" t="inlineStr">
        <is>
          <t>correct</t>
        </is>
      </c>
      <c r="R147" t="inlineStr">
        <is>
          <t>correct</t>
        </is>
      </c>
      <c r="S147" t="inlineStr">
        <is>
          <t>matches_completely</t>
        </is>
      </c>
      <c r="T147" t="inlineStr">
        <is>
          <t>correct</t>
        </is>
      </c>
      <c r="U147">
        <f>IF(T147="correct",1,0)</f>
        <v/>
      </c>
      <c r="V147">
        <f>VLOOKUP(A147,Participants!$A$2:$B$86,2,FALSE)</f>
        <v/>
      </c>
    </row>
    <row r="148">
      <c r="A148" t="inlineStr">
        <is>
          <t>user_0028</t>
        </is>
      </c>
      <c r="B148" t="inlineStr">
        <is>
          <t>C1</t>
        </is>
      </c>
      <c r="C148" t="inlineStr">
        <is>
          <t>C3</t>
        </is>
      </c>
      <c r="D148" t="n">
        <v>2</v>
      </c>
      <c r="E148" t="inlineStr">
        <is>
          <t>2026-03-24T10:34:05.247606+00:00</t>
        </is>
      </c>
      <c r="F148" t="inlineStr">
        <is>
          <t>2026-03-24T10:34:05.265180+00:00</t>
        </is>
      </c>
      <c r="G148" t="n">
        <v>4</v>
      </c>
      <c r="H148" t="n">
        <v>100.16</v>
      </c>
      <c r="I148" t="n">
        <v>1</v>
      </c>
      <c r="J148" t="n">
        <v>1</v>
      </c>
      <c r="K148" t="n">
        <v>1</v>
      </c>
      <c r="M148" t="inlineStr">
        <is>
          <t>partially</t>
        </is>
      </c>
      <c r="N148" t="n">
        <v>4</v>
      </c>
      <c r="Q148" t="inlineStr">
        <is>
          <t>correct</t>
        </is>
      </c>
      <c r="R148" t="inlineStr">
        <is>
          <t>incorrect</t>
        </is>
      </c>
      <c r="S148" t="inlineStr">
        <is>
          <t>matches_completely</t>
        </is>
      </c>
      <c r="T148" t="inlineStr">
        <is>
          <t>correct</t>
        </is>
      </c>
      <c r="U148">
        <f>IF(T148="correct",1,0)</f>
        <v/>
      </c>
      <c r="V148">
        <f>VLOOKUP(A148,Participants!$A$2:$B$86,2,FALSE)</f>
        <v/>
      </c>
    </row>
    <row r="149">
      <c r="A149" t="inlineStr">
        <is>
          <t>user_0028</t>
        </is>
      </c>
      <c r="B149" t="inlineStr">
        <is>
          <t>S2</t>
        </is>
      </c>
      <c r="C149" t="inlineStr">
        <is>
          <t>C1</t>
        </is>
      </c>
      <c r="D149" t="n">
        <v>3</v>
      </c>
      <c r="E149" t="inlineStr">
        <is>
          <t>2026-03-24T10:40:30.808780+00:00</t>
        </is>
      </c>
      <c r="F149" t="inlineStr">
        <is>
          <t>2026-03-24T10:40:30.949943+00:00</t>
        </is>
      </c>
      <c r="G149" t="n">
        <v>4</v>
      </c>
      <c r="H149" t="n">
        <v>81.41</v>
      </c>
      <c r="I149" t="n">
        <v>1</v>
      </c>
      <c r="J149" t="n">
        <v>1</v>
      </c>
      <c r="K149" t="n">
        <v>1</v>
      </c>
      <c r="M149" t="inlineStr">
        <is>
          <t>matches_completely</t>
        </is>
      </c>
      <c r="N149" t="n">
        <v>5</v>
      </c>
      <c r="Q149" t="inlineStr">
        <is>
          <t>correct</t>
        </is>
      </c>
      <c r="R149" t="inlineStr">
        <is>
          <t>correct</t>
        </is>
      </c>
      <c r="S149" t="inlineStr">
        <is>
          <t>matches_completely</t>
        </is>
      </c>
      <c r="T149" t="inlineStr">
        <is>
          <t>correct</t>
        </is>
      </c>
      <c r="U149">
        <f>IF(T149="correct",1,0)</f>
        <v/>
      </c>
      <c r="V149">
        <f>VLOOKUP(A149,Participants!$A$2:$B$86,2,FALSE)</f>
        <v/>
      </c>
    </row>
    <row r="150">
      <c r="A150" t="inlineStr">
        <is>
          <t>user_0028</t>
        </is>
      </c>
      <c r="B150" t="inlineStr">
        <is>
          <t>M2</t>
        </is>
      </c>
      <c r="C150" t="inlineStr">
        <is>
          <t>C2</t>
        </is>
      </c>
      <c r="D150" t="n">
        <v>4</v>
      </c>
      <c r="E150" t="inlineStr">
        <is>
          <t>2026-03-24T10:43:27.137290+00:00</t>
        </is>
      </c>
      <c r="F150" t="inlineStr">
        <is>
          <t>2026-03-24T10:43:27.152903+00:00</t>
        </is>
      </c>
      <c r="G150" t="n">
        <v>4</v>
      </c>
      <c r="H150" t="n">
        <v>81.25</v>
      </c>
      <c r="I150" t="n">
        <v>1</v>
      </c>
      <c r="J150" t="n">
        <v>1</v>
      </c>
      <c r="K150" t="n">
        <v>1</v>
      </c>
      <c r="M150" t="inlineStr">
        <is>
          <t>matches_completely</t>
        </is>
      </c>
      <c r="N150" t="n">
        <v>3</v>
      </c>
      <c r="Q150" t="inlineStr">
        <is>
          <t>correct</t>
        </is>
      </c>
      <c r="R150" t="inlineStr">
        <is>
          <t>correct</t>
        </is>
      </c>
      <c r="S150" t="inlineStr">
        <is>
          <t>partially</t>
        </is>
      </c>
      <c r="T150" t="inlineStr">
        <is>
          <t>correct</t>
        </is>
      </c>
      <c r="U150">
        <f>IF(T150="correct",1,0)</f>
        <v/>
      </c>
      <c r="V150">
        <f>VLOOKUP(A150,Participants!$A$2:$B$86,2,FALSE)</f>
        <v/>
      </c>
    </row>
    <row r="151">
      <c r="A151" t="inlineStr">
        <is>
          <t>user_0028</t>
        </is>
      </c>
      <c r="B151" t="inlineStr">
        <is>
          <t>C2</t>
        </is>
      </c>
      <c r="C151" t="inlineStr">
        <is>
          <t>C3</t>
        </is>
      </c>
      <c r="D151" t="n">
        <v>5</v>
      </c>
      <c r="E151" t="inlineStr">
        <is>
          <t>2026-03-24T10:44:26.375216+00:00</t>
        </is>
      </c>
      <c r="F151" t="inlineStr">
        <is>
          <t>2026-03-24T10:44:26.392918+00:00</t>
        </is>
      </c>
      <c r="G151" t="n">
        <v>4</v>
      </c>
      <c r="H151" t="n">
        <v>75.95</v>
      </c>
      <c r="I151" t="n">
        <v>1</v>
      </c>
      <c r="J151" t="n">
        <v>1</v>
      </c>
      <c r="K151" t="n">
        <v>1</v>
      </c>
      <c r="M151" t="inlineStr">
        <is>
          <t>partially</t>
        </is>
      </c>
      <c r="N151" t="n">
        <v>4</v>
      </c>
      <c r="Q151" t="inlineStr">
        <is>
          <t>correct</t>
        </is>
      </c>
      <c r="R151" t="inlineStr">
        <is>
          <t>incorrect</t>
        </is>
      </c>
      <c r="S151" t="inlineStr">
        <is>
          <t>matches_completely</t>
        </is>
      </c>
      <c r="T151" t="inlineStr">
        <is>
          <t>correct</t>
        </is>
      </c>
      <c r="U151">
        <f>IF(T151="correct",1,0)</f>
        <v/>
      </c>
      <c r="V151">
        <f>VLOOKUP(A151,Participants!$A$2:$B$86,2,FALSE)</f>
        <v/>
      </c>
    </row>
    <row r="152">
      <c r="A152" t="inlineStr">
        <is>
          <t>user_0029</t>
        </is>
      </c>
      <c r="B152" t="inlineStr">
        <is>
          <t>S1</t>
        </is>
      </c>
      <c r="C152" t="inlineStr">
        <is>
          <t>C1</t>
        </is>
      </c>
      <c r="D152" t="n">
        <v>0</v>
      </c>
      <c r="E152" t="inlineStr">
        <is>
          <t>2026-03-24T10:44:34.486602+00:00</t>
        </is>
      </c>
      <c r="F152" t="inlineStr">
        <is>
          <t>2026-03-24T10:44:34.504419+00:00</t>
        </is>
      </c>
      <c r="G152" t="n">
        <v>4</v>
      </c>
      <c r="H152" t="n">
        <v>20</v>
      </c>
      <c r="I152" t="n">
        <v>1</v>
      </c>
      <c r="J152" t="n">
        <v>1</v>
      </c>
      <c r="K152" t="n">
        <v>1</v>
      </c>
      <c r="M152" t="inlineStr">
        <is>
          <t>matches_completely</t>
        </is>
      </c>
      <c r="N152" t="n">
        <v>4</v>
      </c>
      <c r="Q152" t="inlineStr">
        <is>
          <t>correct</t>
        </is>
      </c>
      <c r="R152" t="inlineStr">
        <is>
          <t>correct</t>
        </is>
      </c>
      <c r="S152" t="inlineStr">
        <is>
          <t>matches_completely</t>
        </is>
      </c>
      <c r="T152" t="inlineStr">
        <is>
          <t>correct</t>
        </is>
      </c>
      <c r="U152">
        <f>IF(T152="correct",1,0)</f>
        <v/>
      </c>
      <c r="V152">
        <f>VLOOKUP(A152,Participants!$A$2:$B$86,2,FALSE)</f>
        <v/>
      </c>
    </row>
    <row r="153">
      <c r="A153" t="inlineStr">
        <is>
          <t>user_0029</t>
        </is>
      </c>
      <c r="B153" t="inlineStr">
        <is>
          <t>M1</t>
        </is>
      </c>
      <c r="C153" t="inlineStr">
        <is>
          <t>C2</t>
        </is>
      </c>
      <c r="D153" t="n">
        <v>1</v>
      </c>
      <c r="E153" t="inlineStr">
        <is>
          <t>2026-03-24T10:49:33.536695+00:00</t>
        </is>
      </c>
      <c r="F153" t="inlineStr">
        <is>
          <t>2026-03-24T10:49:33.554410+00:00</t>
        </is>
      </c>
      <c r="G153" t="n">
        <v>4</v>
      </c>
      <c r="H153" t="n">
        <v>176.5</v>
      </c>
      <c r="I153" t="n">
        <v>1</v>
      </c>
      <c r="J153" t="n">
        <v>1</v>
      </c>
      <c r="K153" t="n">
        <v>1</v>
      </c>
      <c r="M153" t="inlineStr">
        <is>
          <t>partially</t>
        </is>
      </c>
      <c r="N153" t="n">
        <v>4</v>
      </c>
      <c r="Q153" t="inlineStr">
        <is>
          <t>correct</t>
        </is>
      </c>
      <c r="R153" t="inlineStr">
        <is>
          <t>correct</t>
        </is>
      </c>
      <c r="S153" t="inlineStr">
        <is>
          <t>matches_completely</t>
        </is>
      </c>
      <c r="T153" t="inlineStr">
        <is>
          <t>correct</t>
        </is>
      </c>
      <c r="U153">
        <f>IF(T153="correct",1,0)</f>
        <v/>
      </c>
      <c r="V153">
        <f>VLOOKUP(A153,Participants!$A$2:$B$86,2,FALSE)</f>
        <v/>
      </c>
    </row>
    <row r="154">
      <c r="A154" t="inlineStr">
        <is>
          <t>user_0029</t>
        </is>
      </c>
      <c r="B154" t="inlineStr">
        <is>
          <t>C1</t>
        </is>
      </c>
      <c r="C154" t="inlineStr">
        <is>
          <t>C3</t>
        </is>
      </c>
      <c r="D154" t="n">
        <v>2</v>
      </c>
      <c r="E154" t="inlineStr">
        <is>
          <t>2026-03-24T10:50:23.631001+00:00</t>
        </is>
      </c>
      <c r="F154" t="inlineStr">
        <is>
          <t>2026-03-24T10:50:23.645426+00:00</t>
        </is>
      </c>
      <c r="G154" t="n">
        <v>4</v>
      </c>
      <c r="H154" t="n">
        <v>57.67</v>
      </c>
      <c r="I154" t="n">
        <v>1</v>
      </c>
      <c r="J154" t="n">
        <v>1</v>
      </c>
      <c r="K154" t="n">
        <v>1</v>
      </c>
      <c r="M154" t="inlineStr">
        <is>
          <t>matches_completely</t>
        </is>
      </c>
      <c r="N154" t="n">
        <v>4</v>
      </c>
      <c r="Q154" t="inlineStr">
        <is>
          <t>correct</t>
        </is>
      </c>
      <c r="R154" t="inlineStr">
        <is>
          <t>correct</t>
        </is>
      </c>
      <c r="S154" t="inlineStr">
        <is>
          <t>matches_completely</t>
        </is>
      </c>
      <c r="T154" t="inlineStr">
        <is>
          <t>correct</t>
        </is>
      </c>
      <c r="U154">
        <f>IF(T154="correct",1,0)</f>
        <v/>
      </c>
      <c r="V154">
        <f>VLOOKUP(A154,Participants!$A$2:$B$86,2,FALSE)</f>
        <v/>
      </c>
    </row>
    <row r="155">
      <c r="A155" t="inlineStr">
        <is>
          <t>user_0029</t>
        </is>
      </c>
      <c r="B155" t="inlineStr">
        <is>
          <t>S2</t>
        </is>
      </c>
      <c r="C155" t="inlineStr">
        <is>
          <t>C1</t>
        </is>
      </c>
      <c r="D155" t="n">
        <v>3</v>
      </c>
      <c r="E155" t="inlineStr">
        <is>
          <t>2026-03-24T10:55:14.405062+00:00</t>
        </is>
      </c>
      <c r="F155" t="inlineStr">
        <is>
          <t>2026-03-24T10:55:14.423409+00:00</t>
        </is>
      </c>
      <c r="G155" t="n">
        <v>4</v>
      </c>
      <c r="H155" t="n">
        <v>60.08</v>
      </c>
      <c r="I155" t="n">
        <v>1</v>
      </c>
      <c r="J155" t="n">
        <v>1</v>
      </c>
      <c r="K155" t="n">
        <v>1</v>
      </c>
      <c r="M155" t="inlineStr">
        <is>
          <t>matches_completely</t>
        </is>
      </c>
      <c r="N155" t="n">
        <v>4</v>
      </c>
      <c r="Q155" t="inlineStr">
        <is>
          <t>correct</t>
        </is>
      </c>
      <c r="R155" t="inlineStr">
        <is>
          <t>correct</t>
        </is>
      </c>
      <c r="S155" t="inlineStr">
        <is>
          <t>matches_completely</t>
        </is>
      </c>
      <c r="T155" t="inlineStr">
        <is>
          <t>correct</t>
        </is>
      </c>
      <c r="U155">
        <f>IF(T155="correct",1,0)</f>
        <v/>
      </c>
      <c r="V155">
        <f>VLOOKUP(A155,Participants!$A$2:$B$86,2,FALSE)</f>
        <v/>
      </c>
    </row>
    <row r="156">
      <c r="A156" t="inlineStr">
        <is>
          <t>user_0029</t>
        </is>
      </c>
      <c r="B156" t="inlineStr">
        <is>
          <t>M2</t>
        </is>
      </c>
      <c r="C156" t="inlineStr">
        <is>
          <t>C2</t>
        </is>
      </c>
      <c r="D156" t="n">
        <v>4</v>
      </c>
      <c r="E156" t="inlineStr">
        <is>
          <t>2026-03-24T10:56:57.422062+00:00</t>
        </is>
      </c>
      <c r="F156" t="inlineStr">
        <is>
          <t>2026-03-24T10:56:57.441756+00:00</t>
        </is>
      </c>
      <c r="G156" t="n">
        <v>10</v>
      </c>
      <c r="H156" t="n">
        <v>138.89</v>
      </c>
      <c r="I156" t="n">
        <v>1</v>
      </c>
      <c r="J156" t="n">
        <v>1</v>
      </c>
      <c r="K156" t="n">
        <v>1</v>
      </c>
      <c r="M156" t="inlineStr">
        <is>
          <t>partially</t>
        </is>
      </c>
      <c r="N156" t="n">
        <v>4</v>
      </c>
      <c r="Q156" t="inlineStr">
        <is>
          <t>correct</t>
        </is>
      </c>
      <c r="R156" t="inlineStr">
        <is>
          <t>correct</t>
        </is>
      </c>
      <c r="S156" t="inlineStr">
        <is>
          <t>does_not_match</t>
        </is>
      </c>
      <c r="T156" t="inlineStr">
        <is>
          <t>correct</t>
        </is>
      </c>
      <c r="U156">
        <f>IF(T156="correct",1,0)</f>
        <v/>
      </c>
      <c r="V156">
        <f>VLOOKUP(A156,Participants!$A$2:$B$86,2,FALSE)</f>
        <v/>
      </c>
    </row>
    <row r="157">
      <c r="A157" t="inlineStr">
        <is>
          <t>user_0029</t>
        </is>
      </c>
      <c r="B157" t="inlineStr">
        <is>
          <t>C2</t>
        </is>
      </c>
      <c r="C157" t="inlineStr">
        <is>
          <t>C3</t>
        </is>
      </c>
      <c r="D157" t="n">
        <v>5</v>
      </c>
      <c r="E157" t="inlineStr">
        <is>
          <t>2026-03-24T10:57:37.709809+00:00</t>
        </is>
      </c>
      <c r="F157" t="inlineStr">
        <is>
          <t>2026-03-24T10:57:37.729061+00:00</t>
        </is>
      </c>
      <c r="G157" t="n">
        <v>4</v>
      </c>
      <c r="H157" t="n">
        <v>63.95</v>
      </c>
      <c r="I157" t="n">
        <v>1</v>
      </c>
      <c r="J157" t="n">
        <v>1</v>
      </c>
      <c r="K157" t="n">
        <v>1</v>
      </c>
      <c r="M157" t="inlineStr">
        <is>
          <t>matches_completely</t>
        </is>
      </c>
      <c r="N157" t="n">
        <v>3</v>
      </c>
      <c r="Q157" t="inlineStr">
        <is>
          <t>correct</t>
        </is>
      </c>
      <c r="R157" t="inlineStr">
        <is>
          <t>correct</t>
        </is>
      </c>
      <c r="S157" t="inlineStr">
        <is>
          <t>matches_completely</t>
        </is>
      </c>
      <c r="T157" t="inlineStr">
        <is>
          <t>correct</t>
        </is>
      </c>
      <c r="U157">
        <f>IF(T157="correct",1,0)</f>
        <v/>
      </c>
      <c r="V157">
        <f>VLOOKUP(A157,Participants!$A$2:$B$86,2,FALSE)</f>
        <v/>
      </c>
    </row>
    <row r="158">
      <c r="A158" t="inlineStr">
        <is>
          <t>user_0031</t>
        </is>
      </c>
      <c r="B158" t="inlineStr">
        <is>
          <t>S1</t>
        </is>
      </c>
      <c r="C158" t="inlineStr">
        <is>
          <t>C1</t>
        </is>
      </c>
      <c r="D158" t="n">
        <v>0</v>
      </c>
      <c r="E158" t="inlineStr">
        <is>
          <t>2026-03-24T10:22:53.626559+00:00</t>
        </is>
      </c>
      <c r="F158" t="inlineStr">
        <is>
          <t>2026-03-24T10:22:53.649122+00:00</t>
        </is>
      </c>
      <c r="G158" t="n">
        <v>4</v>
      </c>
      <c r="H158" t="n">
        <v>20</v>
      </c>
      <c r="I158" t="n">
        <v>1</v>
      </c>
      <c r="J158" t="n">
        <v>1</v>
      </c>
      <c r="K158" t="n">
        <v>1</v>
      </c>
      <c r="M158" t="inlineStr">
        <is>
          <t>matches_completely</t>
        </is>
      </c>
      <c r="N158" t="n">
        <v>4</v>
      </c>
      <c r="Q158" t="inlineStr">
        <is>
          <t>correct</t>
        </is>
      </c>
      <c r="R158" t="inlineStr">
        <is>
          <t>correct</t>
        </is>
      </c>
      <c r="S158" t="inlineStr">
        <is>
          <t>matches_completely</t>
        </is>
      </c>
      <c r="T158" t="inlineStr">
        <is>
          <t>correct</t>
        </is>
      </c>
      <c r="U158">
        <f>IF(T158="correct",1,0)</f>
        <v/>
      </c>
      <c r="V158">
        <f>VLOOKUP(A158,Participants!$A$2:$B$86,2,FALSE)</f>
        <v/>
      </c>
    </row>
    <row r="159">
      <c r="A159" t="inlineStr">
        <is>
          <t>user_0031</t>
        </is>
      </c>
      <c r="B159" t="inlineStr">
        <is>
          <t>M1</t>
        </is>
      </c>
      <c r="C159" t="inlineStr">
        <is>
          <t>C2</t>
        </is>
      </c>
      <c r="D159" t="n">
        <v>1</v>
      </c>
      <c r="E159" t="inlineStr">
        <is>
          <t>2026-03-24T10:25:58.996858+00:00</t>
        </is>
      </c>
      <c r="F159" t="inlineStr">
        <is>
          <t>2026-03-24T10:25:59.018537+00:00</t>
        </is>
      </c>
      <c r="G159" t="n">
        <v>6</v>
      </c>
      <c r="H159" t="n">
        <v>20</v>
      </c>
      <c r="I159" t="n">
        <v>1</v>
      </c>
      <c r="J159" t="n">
        <v>1</v>
      </c>
      <c r="K159" t="n">
        <v>1</v>
      </c>
      <c r="M159" t="inlineStr">
        <is>
          <t>partially</t>
        </is>
      </c>
      <c r="N159" t="n">
        <v>3</v>
      </c>
      <c r="Q159" t="inlineStr">
        <is>
          <t>correct</t>
        </is>
      </c>
      <c r="R159" t="inlineStr">
        <is>
          <t>correct</t>
        </is>
      </c>
      <c r="S159" t="inlineStr">
        <is>
          <t>matches_completely</t>
        </is>
      </c>
      <c r="T159" t="inlineStr">
        <is>
          <t>correct</t>
        </is>
      </c>
      <c r="U159">
        <f>IF(T159="correct",1,0)</f>
        <v/>
      </c>
      <c r="V159">
        <f>VLOOKUP(A159,Participants!$A$2:$B$86,2,FALSE)</f>
        <v/>
      </c>
    </row>
    <row r="160">
      <c r="A160" t="inlineStr">
        <is>
          <t>user_0031</t>
        </is>
      </c>
      <c r="B160" t="inlineStr">
        <is>
          <t>C1</t>
        </is>
      </c>
      <c r="C160" t="inlineStr">
        <is>
          <t>C3</t>
        </is>
      </c>
      <c r="D160" t="n">
        <v>2</v>
      </c>
      <c r="E160" t="inlineStr">
        <is>
          <t>2026-03-24T10:27:22.807879+00:00</t>
        </is>
      </c>
      <c r="F160" t="inlineStr">
        <is>
          <t>2026-03-24T10:27:22.826330+00:00</t>
        </is>
      </c>
      <c r="G160" t="n">
        <v>4</v>
      </c>
      <c r="H160" t="n">
        <v>40.75</v>
      </c>
      <c r="I160" t="n">
        <v>1</v>
      </c>
      <c r="J160" t="n">
        <v>1</v>
      </c>
      <c r="K160" t="n">
        <v>1</v>
      </c>
      <c r="M160" t="inlineStr">
        <is>
          <t>matches_completely</t>
        </is>
      </c>
      <c r="N160" t="n">
        <v>4</v>
      </c>
      <c r="Q160" t="inlineStr">
        <is>
          <t>correct</t>
        </is>
      </c>
      <c r="R160" t="inlineStr">
        <is>
          <t>correct</t>
        </is>
      </c>
      <c r="S160" t="inlineStr">
        <is>
          <t>matches_completely</t>
        </is>
      </c>
      <c r="T160" t="inlineStr">
        <is>
          <t>correct</t>
        </is>
      </c>
      <c r="U160">
        <f>IF(T160="correct",1,0)</f>
        <v/>
      </c>
      <c r="V160">
        <f>VLOOKUP(A160,Participants!$A$2:$B$86,2,FALSE)</f>
        <v/>
      </c>
    </row>
    <row r="161">
      <c r="A161" t="inlineStr">
        <is>
          <t>user_0031</t>
        </is>
      </c>
      <c r="B161" t="inlineStr">
        <is>
          <t>S2</t>
        </is>
      </c>
      <c r="C161" t="inlineStr">
        <is>
          <t>C1</t>
        </is>
      </c>
      <c r="D161" t="n">
        <v>3</v>
      </c>
      <c r="E161" t="inlineStr">
        <is>
          <t>2026-03-24T10:30:39.727904+00:00</t>
        </is>
      </c>
      <c r="F161" t="inlineStr">
        <is>
          <t>2026-03-24T10:30:39.751814+00:00</t>
        </is>
      </c>
      <c r="G161" t="n">
        <v>4</v>
      </c>
      <c r="H161" t="n">
        <v>54.84</v>
      </c>
      <c r="I161" t="n">
        <v>1</v>
      </c>
      <c r="J161" t="n">
        <v>1</v>
      </c>
      <c r="K161" t="n">
        <v>1</v>
      </c>
      <c r="M161" t="inlineStr">
        <is>
          <t>matches_completely</t>
        </is>
      </c>
      <c r="N161" t="n">
        <v>5</v>
      </c>
      <c r="Q161" t="inlineStr">
        <is>
          <t>correct</t>
        </is>
      </c>
      <c r="R161" t="inlineStr">
        <is>
          <t>correct</t>
        </is>
      </c>
      <c r="S161" t="inlineStr">
        <is>
          <t>matches_completely</t>
        </is>
      </c>
      <c r="T161" t="inlineStr">
        <is>
          <t>correct</t>
        </is>
      </c>
      <c r="U161">
        <f>IF(T161="correct",1,0)</f>
        <v/>
      </c>
      <c r="V161">
        <f>VLOOKUP(A161,Participants!$A$2:$B$86,2,FALSE)</f>
        <v/>
      </c>
    </row>
    <row r="162">
      <c r="A162" t="inlineStr">
        <is>
          <t>user_0031</t>
        </is>
      </c>
      <c r="B162" t="inlineStr">
        <is>
          <t>M2</t>
        </is>
      </c>
      <c r="C162" t="inlineStr">
        <is>
          <t>C2</t>
        </is>
      </c>
      <c r="D162" t="n">
        <v>4</v>
      </c>
      <c r="E162" t="inlineStr">
        <is>
          <t>2026-03-24T10:31:49.806041+00:00</t>
        </is>
      </c>
      <c r="F162" t="inlineStr">
        <is>
          <t>2026-03-24T10:31:49.829831+00:00</t>
        </is>
      </c>
      <c r="G162" t="n">
        <v>4</v>
      </c>
      <c r="H162" t="n">
        <v>69.14</v>
      </c>
      <c r="I162" t="n">
        <v>1</v>
      </c>
      <c r="J162" t="n">
        <v>1</v>
      </c>
      <c r="K162" t="n">
        <v>1</v>
      </c>
      <c r="M162" t="inlineStr">
        <is>
          <t>matches_completely</t>
        </is>
      </c>
      <c r="N162" t="n">
        <v>5</v>
      </c>
      <c r="Q162" t="inlineStr">
        <is>
          <t>correct</t>
        </is>
      </c>
      <c r="R162" t="inlineStr">
        <is>
          <t>correct</t>
        </is>
      </c>
      <c r="S162" t="inlineStr">
        <is>
          <t>partially</t>
        </is>
      </c>
      <c r="T162" t="inlineStr">
        <is>
          <t>correct</t>
        </is>
      </c>
      <c r="U162">
        <f>IF(T162="correct",1,0)</f>
        <v/>
      </c>
      <c r="V162">
        <f>VLOOKUP(A162,Participants!$A$2:$B$86,2,FALSE)</f>
        <v/>
      </c>
    </row>
    <row r="163">
      <c r="A163" t="inlineStr">
        <is>
          <t>user_0031</t>
        </is>
      </c>
      <c r="B163" t="inlineStr">
        <is>
          <t>C2</t>
        </is>
      </c>
      <c r="C163" t="inlineStr">
        <is>
          <t>C3</t>
        </is>
      </c>
      <c r="D163" t="n">
        <v>5</v>
      </c>
      <c r="E163" t="inlineStr">
        <is>
          <t>2026-03-24T10:33:05.363338+00:00</t>
        </is>
      </c>
      <c r="F163" t="inlineStr">
        <is>
          <t>2026-03-24T10:33:05.381180+00:00</t>
        </is>
      </c>
      <c r="G163" t="n">
        <v>4</v>
      </c>
      <c r="H163" t="n">
        <v>72.8</v>
      </c>
      <c r="I163" t="n">
        <v>1</v>
      </c>
      <c r="J163" t="n">
        <v>1</v>
      </c>
      <c r="K163" t="n">
        <v>1</v>
      </c>
      <c r="M163" t="inlineStr">
        <is>
          <t>matches_completely</t>
        </is>
      </c>
      <c r="N163" t="n">
        <v>5</v>
      </c>
      <c r="Q163" t="inlineStr">
        <is>
          <t>correct</t>
        </is>
      </c>
      <c r="R163" t="inlineStr">
        <is>
          <t>correct</t>
        </is>
      </c>
      <c r="S163" t="inlineStr">
        <is>
          <t>matches_completely</t>
        </is>
      </c>
      <c r="T163" t="inlineStr">
        <is>
          <t>correct</t>
        </is>
      </c>
      <c r="U163">
        <f>IF(T163="correct",1,0)</f>
        <v/>
      </c>
      <c r="V163">
        <f>VLOOKUP(A163,Participants!$A$2:$B$86,2,FALSE)</f>
        <v/>
      </c>
    </row>
    <row r="164">
      <c r="A164" t="inlineStr">
        <is>
          <t>user_0032</t>
        </is>
      </c>
      <c r="B164" t="inlineStr">
        <is>
          <t>S1</t>
        </is>
      </c>
      <c r="C164" t="inlineStr">
        <is>
          <t>C1</t>
        </is>
      </c>
      <c r="D164" t="n">
        <v>0</v>
      </c>
      <c r="E164" t="inlineStr">
        <is>
          <t>2026-03-24T10:26:34.003396+00:00</t>
        </is>
      </c>
      <c r="F164" t="inlineStr">
        <is>
          <t>2026-03-24T10:26:34.029430+00:00</t>
        </is>
      </c>
      <c r="G164" t="n">
        <v>4</v>
      </c>
      <c r="H164" t="n">
        <v>82.55</v>
      </c>
      <c r="I164" t="n">
        <v>1</v>
      </c>
      <c r="J164" t="n">
        <v>1</v>
      </c>
      <c r="K164" t="n">
        <v>1</v>
      </c>
      <c r="M164" t="inlineStr">
        <is>
          <t>matches_completely</t>
        </is>
      </c>
      <c r="N164" t="n">
        <v>4</v>
      </c>
      <c r="Q164" t="inlineStr">
        <is>
          <t>correct</t>
        </is>
      </c>
      <c r="R164" t="inlineStr">
        <is>
          <t>correct</t>
        </is>
      </c>
      <c r="S164" t="inlineStr">
        <is>
          <t>matches_completely</t>
        </is>
      </c>
      <c r="T164" t="inlineStr">
        <is>
          <t>correct</t>
        </is>
      </c>
      <c r="U164">
        <f>IF(T164="correct",1,0)</f>
        <v/>
      </c>
      <c r="V164">
        <f>VLOOKUP(A164,Participants!$A$2:$B$86,2,FALSE)</f>
        <v/>
      </c>
    </row>
    <row r="165">
      <c r="A165" t="inlineStr">
        <is>
          <t>user_0032</t>
        </is>
      </c>
      <c r="B165" t="inlineStr">
        <is>
          <t>M1</t>
        </is>
      </c>
      <c r="C165" t="inlineStr">
        <is>
          <t>C2</t>
        </is>
      </c>
      <c r="D165" t="n">
        <v>1</v>
      </c>
      <c r="E165" t="inlineStr">
        <is>
          <t>2026-03-24T10:30:20.086730+00:00</t>
        </is>
      </c>
      <c r="F165" t="inlineStr">
        <is>
          <t>2026-03-24T10:30:20.106851+00:00</t>
        </is>
      </c>
      <c r="G165" t="n">
        <v>4</v>
      </c>
      <c r="H165" t="n">
        <v>20</v>
      </c>
      <c r="I165" t="n">
        <v>1</v>
      </c>
      <c r="J165" t="n">
        <v>1</v>
      </c>
      <c r="K165" t="n">
        <v>1</v>
      </c>
      <c r="M165" t="inlineStr">
        <is>
          <t>matches_completely</t>
        </is>
      </c>
      <c r="N165" t="n">
        <v>4</v>
      </c>
      <c r="Q165" t="inlineStr">
        <is>
          <t>correct</t>
        </is>
      </c>
      <c r="R165" t="inlineStr">
        <is>
          <t>correct</t>
        </is>
      </c>
      <c r="S165" t="inlineStr">
        <is>
          <t>matches_completely</t>
        </is>
      </c>
      <c r="T165" t="inlineStr">
        <is>
          <t>correct</t>
        </is>
      </c>
      <c r="U165">
        <f>IF(T165="correct",1,0)</f>
        <v/>
      </c>
      <c r="V165">
        <f>VLOOKUP(A165,Participants!$A$2:$B$86,2,FALSE)</f>
        <v/>
      </c>
    </row>
    <row r="166">
      <c r="A166" t="inlineStr">
        <is>
          <t>user_0032</t>
        </is>
      </c>
      <c r="B166" t="inlineStr">
        <is>
          <t>C1</t>
        </is>
      </c>
      <c r="C166" t="inlineStr">
        <is>
          <t>C3</t>
        </is>
      </c>
      <c r="D166" t="n">
        <v>2</v>
      </c>
      <c r="E166" t="inlineStr">
        <is>
          <t>2026-03-24T10:33:46.366306+00:00</t>
        </is>
      </c>
      <c r="F166" t="inlineStr">
        <is>
          <t>2026-03-24T10:33:46.394924+00:00</t>
        </is>
      </c>
      <c r="G166" t="n">
        <v>4</v>
      </c>
      <c r="H166" t="n">
        <v>49.45</v>
      </c>
      <c r="I166" t="n">
        <v>1</v>
      </c>
      <c r="J166" t="n">
        <v>1</v>
      </c>
      <c r="K166" t="n">
        <v>1</v>
      </c>
      <c r="M166" t="inlineStr">
        <is>
          <t>partially</t>
        </is>
      </c>
      <c r="N166" t="n">
        <v>3</v>
      </c>
      <c r="Q166" t="inlineStr">
        <is>
          <t>correct</t>
        </is>
      </c>
      <c r="R166" t="inlineStr">
        <is>
          <t>incorrect</t>
        </is>
      </c>
      <c r="S166" t="inlineStr">
        <is>
          <t>matches_completely</t>
        </is>
      </c>
      <c r="T166" t="inlineStr">
        <is>
          <t>correct</t>
        </is>
      </c>
      <c r="U166">
        <f>IF(T166="correct",1,0)</f>
        <v/>
      </c>
      <c r="V166">
        <f>VLOOKUP(A166,Participants!$A$2:$B$86,2,FALSE)</f>
        <v/>
      </c>
    </row>
    <row r="167">
      <c r="A167" t="inlineStr">
        <is>
          <t>user_0032</t>
        </is>
      </c>
      <c r="B167" t="inlineStr">
        <is>
          <t>S2</t>
        </is>
      </c>
      <c r="C167" t="inlineStr">
        <is>
          <t>C1</t>
        </is>
      </c>
      <c r="D167" t="n">
        <v>3</v>
      </c>
      <c r="E167" t="inlineStr">
        <is>
          <t>2026-03-24T10:40:45.051042+00:00</t>
        </is>
      </c>
      <c r="F167" t="inlineStr">
        <is>
          <t>2026-03-24T10:40:45.071093+00:00</t>
        </is>
      </c>
      <c r="G167" t="n">
        <v>4</v>
      </c>
      <c r="H167" t="n">
        <v>90.36</v>
      </c>
      <c r="I167" t="n">
        <v>1</v>
      </c>
      <c r="J167" t="n">
        <v>1</v>
      </c>
      <c r="K167" t="n">
        <v>1</v>
      </c>
      <c r="M167" t="inlineStr">
        <is>
          <t>matches_completely</t>
        </is>
      </c>
      <c r="N167" t="n">
        <v>4</v>
      </c>
      <c r="Q167" t="inlineStr">
        <is>
          <t>correct</t>
        </is>
      </c>
      <c r="R167" t="inlineStr">
        <is>
          <t>correct</t>
        </is>
      </c>
      <c r="S167" t="inlineStr">
        <is>
          <t>matches_completely</t>
        </is>
      </c>
      <c r="T167" t="inlineStr">
        <is>
          <t>correct</t>
        </is>
      </c>
      <c r="U167">
        <f>IF(T167="correct",1,0)</f>
        <v/>
      </c>
      <c r="V167">
        <f>VLOOKUP(A167,Participants!$A$2:$B$86,2,FALSE)</f>
        <v/>
      </c>
    </row>
    <row r="168">
      <c r="A168" t="inlineStr">
        <is>
          <t>user_0032</t>
        </is>
      </c>
      <c r="B168" t="inlineStr">
        <is>
          <t>M2</t>
        </is>
      </c>
      <c r="C168" t="inlineStr">
        <is>
          <t>C2</t>
        </is>
      </c>
      <c r="D168" t="n">
        <v>4</v>
      </c>
      <c r="E168" t="inlineStr">
        <is>
          <t>2026-03-24T10:44:31.756984+00:00</t>
        </is>
      </c>
      <c r="F168" t="inlineStr">
        <is>
          <t>2026-03-24T10:44:31.777952+00:00</t>
        </is>
      </c>
      <c r="G168" t="n">
        <v>4</v>
      </c>
      <c r="H168" t="n">
        <v>86.41</v>
      </c>
      <c r="I168" t="n">
        <v>1</v>
      </c>
      <c r="J168" t="n">
        <v>1</v>
      </c>
      <c r="K168" t="n">
        <v>1</v>
      </c>
      <c r="M168" t="inlineStr">
        <is>
          <t>matches_completely</t>
        </is>
      </c>
      <c r="N168" t="n">
        <v>4</v>
      </c>
      <c r="Q168" t="inlineStr">
        <is>
          <t>correct</t>
        </is>
      </c>
      <c r="R168" t="inlineStr">
        <is>
          <t>correct</t>
        </is>
      </c>
      <c r="S168" t="inlineStr">
        <is>
          <t>partially</t>
        </is>
      </c>
      <c r="T168" t="inlineStr">
        <is>
          <t>correct</t>
        </is>
      </c>
      <c r="U168">
        <f>IF(T168="correct",1,0)</f>
        <v/>
      </c>
      <c r="V168">
        <f>VLOOKUP(A168,Participants!$A$2:$B$86,2,FALSE)</f>
        <v/>
      </c>
    </row>
    <row r="169">
      <c r="A169" t="inlineStr">
        <is>
          <t>user_0032</t>
        </is>
      </c>
      <c r="B169" t="inlineStr">
        <is>
          <t>C2</t>
        </is>
      </c>
      <c r="C169" t="inlineStr">
        <is>
          <t>C3</t>
        </is>
      </c>
      <c r="D169" t="n">
        <v>5</v>
      </c>
      <c r="E169" t="inlineStr">
        <is>
          <t>2026-03-24T10:46:21.917678+00:00</t>
        </is>
      </c>
      <c r="F169" t="inlineStr">
        <is>
          <t>2026-03-24T10:46:21.937267+00:00</t>
        </is>
      </c>
      <c r="G169" t="n">
        <v>4</v>
      </c>
      <c r="H169" t="n">
        <v>75.34</v>
      </c>
      <c r="I169" t="n">
        <v>1</v>
      </c>
      <c r="J169" t="n">
        <v>1</v>
      </c>
      <c r="K169" t="n">
        <v>1</v>
      </c>
      <c r="M169" t="inlineStr">
        <is>
          <t>matches_completely</t>
        </is>
      </c>
      <c r="N169" t="n">
        <v>5</v>
      </c>
      <c r="Q169" t="inlineStr">
        <is>
          <t>correct</t>
        </is>
      </c>
      <c r="R169" t="inlineStr">
        <is>
          <t>correct</t>
        </is>
      </c>
      <c r="S169" t="inlineStr">
        <is>
          <t>matches_completely</t>
        </is>
      </c>
      <c r="T169" t="inlineStr">
        <is>
          <t>correct</t>
        </is>
      </c>
      <c r="U169">
        <f>IF(T169="correct",1,0)</f>
        <v/>
      </c>
      <c r="V169">
        <f>VLOOKUP(A169,Participants!$A$2:$B$86,2,FALSE)</f>
        <v/>
      </c>
    </row>
    <row r="170">
      <c r="A170" t="inlineStr">
        <is>
          <t>user_0033</t>
        </is>
      </c>
      <c r="B170" t="inlineStr">
        <is>
          <t>S1</t>
        </is>
      </c>
      <c r="C170" t="inlineStr">
        <is>
          <t>C1</t>
        </is>
      </c>
      <c r="D170" t="n">
        <v>0</v>
      </c>
      <c r="E170" t="inlineStr">
        <is>
          <t>2026-03-24T10:25:21.872753+00:00</t>
        </is>
      </c>
      <c r="F170" t="inlineStr">
        <is>
          <t>2026-03-24T10:25:21.898055+00:00</t>
        </is>
      </c>
      <c r="G170" t="n">
        <v>8</v>
      </c>
      <c r="H170" t="n">
        <v>159.97</v>
      </c>
      <c r="I170" t="n">
        <v>1</v>
      </c>
      <c r="J170" t="n">
        <v>1</v>
      </c>
      <c r="K170" t="n">
        <v>1</v>
      </c>
      <c r="M170" t="inlineStr">
        <is>
          <t>matches_completely</t>
        </is>
      </c>
      <c r="N170" t="n">
        <v>4</v>
      </c>
      <c r="Q170" t="inlineStr">
        <is>
          <t>correct</t>
        </is>
      </c>
      <c r="R170" t="inlineStr">
        <is>
          <t>correct</t>
        </is>
      </c>
      <c r="S170" t="inlineStr">
        <is>
          <t>partially</t>
        </is>
      </c>
      <c r="T170" t="inlineStr">
        <is>
          <t>correct</t>
        </is>
      </c>
      <c r="U170">
        <f>IF(T170="correct",1,0)</f>
        <v/>
      </c>
      <c r="V170">
        <f>VLOOKUP(A170,Participants!$A$2:$B$86,2,FALSE)</f>
        <v/>
      </c>
    </row>
    <row r="171">
      <c r="A171" t="inlineStr">
        <is>
          <t>user_0033</t>
        </is>
      </c>
      <c r="B171" t="inlineStr">
        <is>
          <t>M1</t>
        </is>
      </c>
      <c r="C171" t="inlineStr">
        <is>
          <t>C2</t>
        </is>
      </c>
      <c r="D171" t="n">
        <v>1</v>
      </c>
      <c r="E171" t="inlineStr">
        <is>
          <t>2026-03-24T10:31:35.006582+00:00</t>
        </is>
      </c>
      <c r="F171" t="inlineStr">
        <is>
          <t>2026-03-24T10:31:35.025592+00:00</t>
        </is>
      </c>
      <c r="G171" t="n">
        <v>7</v>
      </c>
      <c r="H171" t="n">
        <v>202.23</v>
      </c>
      <c r="I171" t="n">
        <v>2</v>
      </c>
      <c r="J171" t="n">
        <v>1</v>
      </c>
      <c r="K171" t="n">
        <v>1</v>
      </c>
      <c r="M171" t="inlineStr">
        <is>
          <t>matches_completely</t>
        </is>
      </c>
      <c r="N171" t="n">
        <v>4</v>
      </c>
      <c r="Q171" t="inlineStr">
        <is>
          <t>correct</t>
        </is>
      </c>
      <c r="R171" t="inlineStr">
        <is>
          <t>correct</t>
        </is>
      </c>
      <c r="S171" t="inlineStr">
        <is>
          <t>matches_completely</t>
        </is>
      </c>
      <c r="T171" t="inlineStr">
        <is>
          <t>correct</t>
        </is>
      </c>
      <c r="U171">
        <f>IF(T171="correct",1,0)</f>
        <v/>
      </c>
      <c r="V171">
        <f>VLOOKUP(A171,Participants!$A$2:$B$86,2,FALSE)</f>
        <v/>
      </c>
    </row>
    <row r="172">
      <c r="A172" t="inlineStr">
        <is>
          <t>user_0033</t>
        </is>
      </c>
      <c r="B172" t="inlineStr">
        <is>
          <t>C1</t>
        </is>
      </c>
      <c r="C172" t="inlineStr">
        <is>
          <t>C3</t>
        </is>
      </c>
      <c r="D172" t="n">
        <v>2</v>
      </c>
      <c r="E172" t="inlineStr">
        <is>
          <t>2026-03-24T10:35:09.008703+00:00</t>
        </is>
      </c>
      <c r="F172" t="inlineStr">
        <is>
          <t>2026-03-24T10:35:09.024926+00:00</t>
        </is>
      </c>
      <c r="G172" t="n">
        <v>4</v>
      </c>
      <c r="H172" t="n">
        <v>127.3</v>
      </c>
      <c r="I172" t="n">
        <v>1</v>
      </c>
      <c r="J172" t="n">
        <v>1</v>
      </c>
      <c r="K172" t="n">
        <v>1</v>
      </c>
      <c r="M172" t="inlineStr">
        <is>
          <t>matches_completely</t>
        </is>
      </c>
      <c r="N172" t="n">
        <v>5</v>
      </c>
      <c r="Q172" t="inlineStr">
        <is>
          <t>correct</t>
        </is>
      </c>
      <c r="R172" t="inlineStr">
        <is>
          <t>correct</t>
        </is>
      </c>
      <c r="S172" t="inlineStr">
        <is>
          <t>matches_completely</t>
        </is>
      </c>
      <c r="T172" t="inlineStr">
        <is>
          <t>correct</t>
        </is>
      </c>
      <c r="U172">
        <f>IF(T172="correct",1,0)</f>
        <v/>
      </c>
      <c r="V172">
        <f>VLOOKUP(A172,Participants!$A$2:$B$86,2,FALSE)</f>
        <v/>
      </c>
    </row>
    <row r="173">
      <c r="A173" t="inlineStr">
        <is>
          <t>user_0033</t>
        </is>
      </c>
      <c r="B173" t="inlineStr">
        <is>
          <t>S2</t>
        </is>
      </c>
      <c r="C173" t="inlineStr">
        <is>
          <t>C1</t>
        </is>
      </c>
      <c r="D173" t="n">
        <v>3</v>
      </c>
      <c r="E173" t="inlineStr">
        <is>
          <t>2026-03-24T10:42:17.521447+00:00</t>
        </is>
      </c>
      <c r="F173" t="inlineStr">
        <is>
          <t>2026-03-24T10:42:17.537132+00:00</t>
        </is>
      </c>
      <c r="G173" t="n">
        <v>4</v>
      </c>
      <c r="H173" t="n">
        <v>128.38</v>
      </c>
      <c r="I173" t="n">
        <v>1</v>
      </c>
      <c r="J173" t="n">
        <v>1</v>
      </c>
      <c r="K173" t="n">
        <v>1</v>
      </c>
      <c r="M173" t="inlineStr">
        <is>
          <t>matches_completely</t>
        </is>
      </c>
      <c r="N173" t="n">
        <v>5</v>
      </c>
      <c r="Q173" t="inlineStr">
        <is>
          <t>correct</t>
        </is>
      </c>
      <c r="R173" t="inlineStr">
        <is>
          <t>correct</t>
        </is>
      </c>
      <c r="S173" t="inlineStr">
        <is>
          <t>matches_completely</t>
        </is>
      </c>
      <c r="T173" t="inlineStr">
        <is>
          <t>correct</t>
        </is>
      </c>
      <c r="U173">
        <f>IF(T173="correct",1,0)</f>
        <v/>
      </c>
      <c r="V173">
        <f>VLOOKUP(A173,Participants!$A$2:$B$86,2,FALSE)</f>
        <v/>
      </c>
    </row>
    <row r="174">
      <c r="A174" t="inlineStr">
        <is>
          <t>user_0033</t>
        </is>
      </c>
      <c r="B174" t="inlineStr">
        <is>
          <t>M2</t>
        </is>
      </c>
      <c r="C174" t="inlineStr">
        <is>
          <t>C2</t>
        </is>
      </c>
      <c r="D174" t="n">
        <v>4</v>
      </c>
      <c r="E174" t="inlineStr">
        <is>
          <t>2026-03-24T10:44:23.972387+00:00</t>
        </is>
      </c>
      <c r="F174" t="inlineStr">
        <is>
          <t>2026-03-24T10:44:23.990140+00:00</t>
        </is>
      </c>
      <c r="G174" t="n">
        <v>5</v>
      </c>
      <c r="H174" t="n">
        <v>140.83</v>
      </c>
      <c r="I174" t="n">
        <v>1</v>
      </c>
      <c r="J174" t="n">
        <v>1</v>
      </c>
      <c r="K174" t="n">
        <v>1</v>
      </c>
      <c r="M174" t="inlineStr">
        <is>
          <t>matches_completely</t>
        </is>
      </c>
      <c r="N174" t="n">
        <v>5</v>
      </c>
      <c r="Q174" t="inlineStr">
        <is>
          <t>correct</t>
        </is>
      </c>
      <c r="R174" t="inlineStr">
        <is>
          <t>correct</t>
        </is>
      </c>
      <c r="S174" t="inlineStr">
        <is>
          <t>matches_completely</t>
        </is>
      </c>
      <c r="T174" t="inlineStr">
        <is>
          <t>correct</t>
        </is>
      </c>
      <c r="U174">
        <f>IF(T174="correct",1,0)</f>
        <v/>
      </c>
      <c r="V174">
        <f>VLOOKUP(A174,Participants!$A$2:$B$86,2,FALSE)</f>
        <v/>
      </c>
    </row>
    <row r="175">
      <c r="A175" t="inlineStr">
        <is>
          <t>user_0033</t>
        </is>
      </c>
      <c r="B175" t="inlineStr">
        <is>
          <t>C2</t>
        </is>
      </c>
      <c r="C175" t="inlineStr">
        <is>
          <t>C3</t>
        </is>
      </c>
      <c r="D175" t="n">
        <v>5</v>
      </c>
      <c r="E175" t="inlineStr">
        <is>
          <t>2026-03-24T10:46:22.212097+00:00</t>
        </is>
      </c>
      <c r="F175" t="inlineStr">
        <is>
          <t>2026-03-24T10:46:22.236161+00:00</t>
        </is>
      </c>
      <c r="G175" t="n">
        <v>4</v>
      </c>
      <c r="H175" t="n">
        <v>84.11</v>
      </c>
      <c r="I175" t="n">
        <v>1</v>
      </c>
      <c r="J175" t="n">
        <v>1</v>
      </c>
      <c r="K175" t="n">
        <v>1</v>
      </c>
      <c r="M175" t="inlineStr">
        <is>
          <t>matches_completely</t>
        </is>
      </c>
      <c r="N175" t="n">
        <v>4</v>
      </c>
      <c r="Q175" t="inlineStr">
        <is>
          <t>correct</t>
        </is>
      </c>
      <c r="R175" t="inlineStr">
        <is>
          <t>correct</t>
        </is>
      </c>
      <c r="S175" t="inlineStr">
        <is>
          <t>matches_completely</t>
        </is>
      </c>
      <c r="T175" t="inlineStr">
        <is>
          <t>correct</t>
        </is>
      </c>
      <c r="U175">
        <f>IF(T175="correct",1,0)</f>
        <v/>
      </c>
      <c r="V175">
        <f>VLOOKUP(A175,Participants!$A$2:$B$86,2,FALSE)</f>
        <v/>
      </c>
    </row>
    <row r="176">
      <c r="A176" t="inlineStr">
        <is>
          <t>user_0034</t>
        </is>
      </c>
      <c r="B176" t="inlineStr">
        <is>
          <t>S1</t>
        </is>
      </c>
      <c r="C176" t="inlineStr">
        <is>
          <t>C1</t>
        </is>
      </c>
      <c r="D176" t="n">
        <v>0</v>
      </c>
      <c r="E176" t="inlineStr">
        <is>
          <t>2026-03-24T10:24:20.269543+00:00</t>
        </is>
      </c>
      <c r="F176" t="inlineStr">
        <is>
          <t>2026-03-24T10:24:20.408911+00:00</t>
        </is>
      </c>
      <c r="G176" t="n">
        <v>9</v>
      </c>
      <c r="H176" t="n">
        <v>28.8</v>
      </c>
      <c r="I176" t="n">
        <v>3</v>
      </c>
      <c r="J176" t="n">
        <v>1</v>
      </c>
      <c r="K176" t="n">
        <v>1</v>
      </c>
      <c r="M176" t="inlineStr">
        <is>
          <t>matches_completely</t>
        </is>
      </c>
      <c r="N176" t="n">
        <v>4</v>
      </c>
      <c r="Q176" t="inlineStr">
        <is>
          <t>correct</t>
        </is>
      </c>
      <c r="R176" t="inlineStr">
        <is>
          <t>correct</t>
        </is>
      </c>
      <c r="S176" t="inlineStr">
        <is>
          <t>matches_completely</t>
        </is>
      </c>
      <c r="T176" t="inlineStr">
        <is>
          <t>correct</t>
        </is>
      </c>
      <c r="U176">
        <f>IF(T176="correct",1,0)</f>
        <v/>
      </c>
      <c r="V176">
        <f>VLOOKUP(A176,Participants!$A$2:$B$86,2,FALSE)</f>
        <v/>
      </c>
    </row>
    <row r="177">
      <c r="A177" t="inlineStr">
        <is>
          <t>user_0034</t>
        </is>
      </c>
      <c r="B177" t="inlineStr">
        <is>
          <t>M1</t>
        </is>
      </c>
      <c r="C177" t="inlineStr">
        <is>
          <t>C2</t>
        </is>
      </c>
      <c r="D177" t="n">
        <v>1</v>
      </c>
      <c r="E177" t="inlineStr">
        <is>
          <t>2026-03-24T10:33:32.619710+00:00</t>
        </is>
      </c>
      <c r="F177" t="inlineStr">
        <is>
          <t>2026-03-24T10:33:32.642410+00:00</t>
        </is>
      </c>
      <c r="G177" t="n">
        <v>11</v>
      </c>
      <c r="H177" t="n">
        <v>292.42</v>
      </c>
      <c r="I177" t="n">
        <v>3</v>
      </c>
      <c r="J177" t="n">
        <v>1</v>
      </c>
      <c r="K177" t="n">
        <v>1</v>
      </c>
      <c r="M177" t="inlineStr">
        <is>
          <t>does_not_match</t>
        </is>
      </c>
      <c r="N177" t="n">
        <v>5</v>
      </c>
      <c r="Q177" t="inlineStr">
        <is>
          <t>incorrect</t>
        </is>
      </c>
      <c r="R177" t="inlineStr">
        <is>
          <t>incorrect</t>
        </is>
      </c>
      <c r="S177" t="inlineStr">
        <is>
          <t>matches_completely</t>
        </is>
      </c>
      <c r="T177" t="inlineStr">
        <is>
          <t>incorrect</t>
        </is>
      </c>
      <c r="U177">
        <f>IF(T177="correct",1,0)</f>
        <v/>
      </c>
      <c r="V177">
        <f>VLOOKUP(A177,Participants!$A$2:$B$86,2,FALSE)</f>
        <v/>
      </c>
    </row>
    <row r="178">
      <c r="A178" t="inlineStr">
        <is>
          <t>user_0034</t>
        </is>
      </c>
      <c r="B178" t="inlineStr">
        <is>
          <t>C1</t>
        </is>
      </c>
      <c r="C178" t="inlineStr">
        <is>
          <t>C3</t>
        </is>
      </c>
      <c r="D178" t="n">
        <v>2</v>
      </c>
      <c r="E178" t="inlineStr">
        <is>
          <t>2026-03-24T10:42:28.271240+00:00</t>
        </is>
      </c>
      <c r="F178" t="inlineStr">
        <is>
          <t>2026-03-24T10:42:28.298524+00:00</t>
        </is>
      </c>
      <c r="G178" t="n">
        <v>13</v>
      </c>
      <c r="H178" t="n">
        <v>454.36</v>
      </c>
      <c r="I178" t="n">
        <v>3</v>
      </c>
      <c r="J178" t="n">
        <v>1</v>
      </c>
      <c r="K178" t="n">
        <v>1</v>
      </c>
      <c r="M178" t="inlineStr">
        <is>
          <t>partially</t>
        </is>
      </c>
      <c r="N178" t="n">
        <v>4</v>
      </c>
      <c r="Q178" t="inlineStr">
        <is>
          <t>correct</t>
        </is>
      </c>
      <c r="R178" t="inlineStr">
        <is>
          <t>incorrect</t>
        </is>
      </c>
      <c r="S178" t="inlineStr">
        <is>
          <t>partially</t>
        </is>
      </c>
      <c r="T178" t="inlineStr">
        <is>
          <t>correct</t>
        </is>
      </c>
      <c r="U178">
        <f>IF(T178="correct",1,0)</f>
        <v/>
      </c>
      <c r="V178">
        <f>VLOOKUP(A178,Participants!$A$2:$B$86,2,FALSE)</f>
        <v/>
      </c>
    </row>
    <row r="179">
      <c r="A179" t="inlineStr">
        <is>
          <t>user_0034</t>
        </is>
      </c>
      <c r="B179" t="inlineStr">
        <is>
          <t>S2</t>
        </is>
      </c>
      <c r="C179" t="inlineStr">
        <is>
          <t>C1</t>
        </is>
      </c>
      <c r="D179" t="n">
        <v>3</v>
      </c>
      <c r="E179" t="inlineStr">
        <is>
          <t>2026-03-24T10:49:31.694802+00:00</t>
        </is>
      </c>
      <c r="F179" t="inlineStr">
        <is>
          <t>2026-03-24T10:49:31.712853+00:00</t>
        </is>
      </c>
      <c r="G179" t="n">
        <v>7</v>
      </c>
      <c r="H179" t="n">
        <v>102.41</v>
      </c>
      <c r="I179" t="n">
        <v>2</v>
      </c>
      <c r="J179" t="n">
        <v>1</v>
      </c>
      <c r="K179" t="n">
        <v>1</v>
      </c>
      <c r="M179" t="inlineStr">
        <is>
          <t>matches_completely</t>
        </is>
      </c>
      <c r="N179" t="n">
        <v>5</v>
      </c>
      <c r="Q179" t="inlineStr">
        <is>
          <t>correct</t>
        </is>
      </c>
      <c r="R179" t="inlineStr">
        <is>
          <t>correct</t>
        </is>
      </c>
      <c r="S179" t="inlineStr">
        <is>
          <t>matches_completely</t>
        </is>
      </c>
      <c r="T179" t="inlineStr">
        <is>
          <t>correct</t>
        </is>
      </c>
      <c r="U179">
        <f>IF(T179="correct",1,0)</f>
        <v/>
      </c>
      <c r="V179">
        <f>VLOOKUP(A179,Participants!$A$2:$B$86,2,FALSE)</f>
        <v/>
      </c>
    </row>
    <row r="180">
      <c r="A180" t="inlineStr">
        <is>
          <t>user_0034</t>
        </is>
      </c>
      <c r="B180" t="inlineStr">
        <is>
          <t>M2</t>
        </is>
      </c>
      <c r="C180" t="inlineStr">
        <is>
          <t>C2</t>
        </is>
      </c>
      <c r="D180" t="n">
        <v>4</v>
      </c>
      <c r="E180" t="inlineStr">
        <is>
          <t>2026-03-24T10:50:37.040600+00:00</t>
        </is>
      </c>
      <c r="F180" t="inlineStr">
        <is>
          <t>2026-03-24T10:50:37.058063+00:00</t>
        </is>
      </c>
      <c r="G180" t="n">
        <v>4</v>
      </c>
      <c r="H180" t="n">
        <v>66.88</v>
      </c>
      <c r="I180" t="n">
        <v>1</v>
      </c>
      <c r="J180" t="n">
        <v>1</v>
      </c>
      <c r="K180" t="n">
        <v>1</v>
      </c>
      <c r="M180" t="inlineStr">
        <is>
          <t>matches_completely</t>
        </is>
      </c>
      <c r="N180" t="n">
        <v>5</v>
      </c>
      <c r="Q180" t="inlineStr">
        <is>
          <t>correct</t>
        </is>
      </c>
      <c r="R180" t="inlineStr">
        <is>
          <t>correct</t>
        </is>
      </c>
      <c r="S180" t="inlineStr">
        <is>
          <t>matches_completely</t>
        </is>
      </c>
      <c r="T180" t="inlineStr">
        <is>
          <t>correct</t>
        </is>
      </c>
      <c r="U180">
        <f>IF(T180="correct",1,0)</f>
        <v/>
      </c>
      <c r="V180">
        <f>VLOOKUP(A180,Participants!$A$2:$B$86,2,FALSE)</f>
        <v/>
      </c>
    </row>
    <row r="181">
      <c r="A181" t="inlineStr">
        <is>
          <t>user_0034</t>
        </is>
      </c>
      <c r="B181" t="inlineStr">
        <is>
          <t>C2</t>
        </is>
      </c>
      <c r="C181" t="inlineStr">
        <is>
          <t>C3</t>
        </is>
      </c>
      <c r="D181" t="n">
        <v>5</v>
      </c>
      <c r="E181" t="inlineStr">
        <is>
          <t>2026-03-24T10:54:07.821198+00:00</t>
        </is>
      </c>
      <c r="F181" t="inlineStr">
        <is>
          <t>2026-03-24T10:54:07.839816+00:00</t>
        </is>
      </c>
      <c r="G181" t="n">
        <v>4</v>
      </c>
      <c r="H181" t="n">
        <v>178.64</v>
      </c>
      <c r="I181" t="n">
        <v>1</v>
      </c>
      <c r="J181" t="n">
        <v>1</v>
      </c>
      <c r="K181" t="n">
        <v>1</v>
      </c>
      <c r="M181" t="inlineStr">
        <is>
          <t>matches_completely</t>
        </is>
      </c>
      <c r="N181" t="n">
        <v>5</v>
      </c>
      <c r="Q181" t="inlineStr">
        <is>
          <t>correct</t>
        </is>
      </c>
      <c r="R181" t="inlineStr">
        <is>
          <t>correct</t>
        </is>
      </c>
      <c r="S181" t="inlineStr">
        <is>
          <t>matches_completely</t>
        </is>
      </c>
      <c r="T181" t="inlineStr">
        <is>
          <t>correct</t>
        </is>
      </c>
      <c r="U181">
        <f>IF(T181="correct",1,0)</f>
        <v/>
      </c>
      <c r="V181">
        <f>VLOOKUP(A181,Participants!$A$2:$B$86,2,FALSE)</f>
        <v/>
      </c>
    </row>
    <row r="182">
      <c r="A182" t="inlineStr">
        <is>
          <t>user_0037</t>
        </is>
      </c>
      <c r="B182" t="inlineStr">
        <is>
          <t>S1</t>
        </is>
      </c>
      <c r="C182" t="inlineStr">
        <is>
          <t>C1</t>
        </is>
      </c>
      <c r="D182" t="n">
        <v>0</v>
      </c>
      <c r="E182" t="inlineStr">
        <is>
          <t>2026-03-25T08:43:23.579117+00:00</t>
        </is>
      </c>
      <c r="F182" t="inlineStr">
        <is>
          <t>2026-03-25T08:43:23.598061+00:00</t>
        </is>
      </c>
      <c r="G182" t="n">
        <v>4</v>
      </c>
      <c r="H182" t="n">
        <v>133.05</v>
      </c>
      <c r="I182" t="n">
        <v>1</v>
      </c>
      <c r="J182" t="n">
        <v>1</v>
      </c>
      <c r="K182" t="n">
        <v>1</v>
      </c>
      <c r="M182" t="inlineStr">
        <is>
          <t>matches_completely</t>
        </is>
      </c>
      <c r="N182" t="n">
        <v>4</v>
      </c>
      <c r="Q182" t="inlineStr">
        <is>
          <t>correct</t>
        </is>
      </c>
      <c r="R182" t="inlineStr">
        <is>
          <t>correct</t>
        </is>
      </c>
      <c r="S182" t="inlineStr">
        <is>
          <t>matches_completely</t>
        </is>
      </c>
      <c r="T182" t="inlineStr">
        <is>
          <t>correct</t>
        </is>
      </c>
      <c r="U182">
        <f>IF(T182="correct",1,0)</f>
        <v/>
      </c>
      <c r="V182">
        <f>VLOOKUP(A182,Participants!$A$2:$B$86,2,FALSE)</f>
        <v/>
      </c>
    </row>
    <row r="183">
      <c r="A183" t="inlineStr">
        <is>
          <t>user_0037</t>
        </is>
      </c>
      <c r="B183" t="inlineStr">
        <is>
          <t>M1</t>
        </is>
      </c>
      <c r="C183" t="inlineStr">
        <is>
          <t>C2</t>
        </is>
      </c>
      <c r="D183" t="n">
        <v>1</v>
      </c>
      <c r="E183" t="inlineStr">
        <is>
          <t>2026-03-25T08:51:03.464933+00:00</t>
        </is>
      </c>
      <c r="F183" t="inlineStr">
        <is>
          <t>2026-03-25T08:51:03.481731+00:00</t>
        </is>
      </c>
      <c r="G183" t="n">
        <v>10</v>
      </c>
      <c r="H183" t="n">
        <v>259.88</v>
      </c>
      <c r="I183" t="n">
        <v>3</v>
      </c>
      <c r="J183" t="n">
        <v>1</v>
      </c>
      <c r="K183" t="n">
        <v>1</v>
      </c>
      <c r="M183" t="inlineStr">
        <is>
          <t>partially</t>
        </is>
      </c>
      <c r="N183" t="n">
        <v>3</v>
      </c>
      <c r="Q183" t="inlineStr">
        <is>
          <t>correct</t>
        </is>
      </c>
      <c r="R183" t="inlineStr">
        <is>
          <t>correct</t>
        </is>
      </c>
      <c r="S183" t="inlineStr">
        <is>
          <t>matches_completely</t>
        </is>
      </c>
      <c r="T183" t="inlineStr">
        <is>
          <t>correct</t>
        </is>
      </c>
      <c r="U183">
        <f>IF(T183="correct",1,0)</f>
        <v/>
      </c>
      <c r="V183">
        <f>VLOOKUP(A183,Participants!$A$2:$B$86,2,FALSE)</f>
        <v/>
      </c>
    </row>
    <row r="184">
      <c r="A184" t="inlineStr">
        <is>
          <t>user_0037</t>
        </is>
      </c>
      <c r="B184" t="inlineStr">
        <is>
          <t>C1</t>
        </is>
      </c>
      <c r="C184" t="inlineStr">
        <is>
          <t>C3</t>
        </is>
      </c>
      <c r="D184" t="n">
        <v>2</v>
      </c>
      <c r="E184" t="inlineStr">
        <is>
          <t>2026-03-25T08:54:29.485985+00:00</t>
        </is>
      </c>
      <c r="F184" t="inlineStr">
        <is>
          <t>2026-03-25T08:54:29.501165+00:00</t>
        </is>
      </c>
      <c r="G184" t="n">
        <v>4</v>
      </c>
      <c r="H184" t="n">
        <v>53.25</v>
      </c>
      <c r="I184" t="n">
        <v>1</v>
      </c>
      <c r="J184" t="n">
        <v>1</v>
      </c>
      <c r="K184" t="n">
        <v>1</v>
      </c>
      <c r="M184" t="inlineStr">
        <is>
          <t>matches_completely</t>
        </is>
      </c>
      <c r="N184" t="n">
        <v>4</v>
      </c>
      <c r="Q184" t="inlineStr">
        <is>
          <t>correct</t>
        </is>
      </c>
      <c r="R184" t="inlineStr">
        <is>
          <t>correct</t>
        </is>
      </c>
      <c r="S184" t="inlineStr">
        <is>
          <t>partially</t>
        </is>
      </c>
      <c r="T184" t="inlineStr">
        <is>
          <t>correct</t>
        </is>
      </c>
      <c r="U184">
        <f>IF(T184="correct",1,0)</f>
        <v/>
      </c>
      <c r="V184">
        <f>VLOOKUP(A184,Participants!$A$2:$B$86,2,FALSE)</f>
        <v/>
      </c>
    </row>
    <row r="185">
      <c r="A185" t="inlineStr">
        <is>
          <t>user_0037</t>
        </is>
      </c>
      <c r="B185" t="inlineStr">
        <is>
          <t>S2</t>
        </is>
      </c>
      <c r="C185" t="inlineStr">
        <is>
          <t>C1</t>
        </is>
      </c>
      <c r="D185" t="n">
        <v>3</v>
      </c>
      <c r="E185" t="inlineStr">
        <is>
          <t>2026-03-25T09:01:14.882790+00:00</t>
        </is>
      </c>
      <c r="F185" t="inlineStr">
        <is>
          <t>2026-03-25T09:01:14.902275+00:00</t>
        </is>
      </c>
      <c r="G185" t="n">
        <v>8</v>
      </c>
      <c r="H185" t="n">
        <v>100.92</v>
      </c>
      <c r="I185" t="n">
        <v>2</v>
      </c>
      <c r="J185" t="n">
        <v>1</v>
      </c>
      <c r="K185" t="n">
        <v>0</v>
      </c>
      <c r="M185" t="inlineStr">
        <is>
          <t>partially</t>
        </is>
      </c>
      <c r="N185" t="n">
        <v>3</v>
      </c>
      <c r="Q185" t="inlineStr">
        <is>
          <t>correct</t>
        </is>
      </c>
      <c r="R185" t="inlineStr">
        <is>
          <t>correct</t>
        </is>
      </c>
      <c r="S185" t="inlineStr">
        <is>
          <t>partially</t>
        </is>
      </c>
      <c r="T185" t="inlineStr">
        <is>
          <t>correct</t>
        </is>
      </c>
      <c r="U185">
        <f>IF(T185="correct",1,0)</f>
        <v/>
      </c>
      <c r="V185">
        <f>VLOOKUP(A185,Participants!$A$2:$B$86,2,FALSE)</f>
        <v/>
      </c>
    </row>
    <row r="186">
      <c r="A186" t="inlineStr">
        <is>
          <t>user_0037</t>
        </is>
      </c>
      <c r="B186" t="inlineStr">
        <is>
          <t>M2</t>
        </is>
      </c>
      <c r="C186" t="inlineStr">
        <is>
          <t>C2</t>
        </is>
      </c>
      <c r="D186" t="n">
        <v>4</v>
      </c>
      <c r="E186" t="inlineStr">
        <is>
          <t>2026-03-25T09:02:26.357799+00:00</t>
        </is>
      </c>
      <c r="F186" t="inlineStr">
        <is>
          <t>2026-03-25T09:02:26.374647+00:00</t>
        </is>
      </c>
      <c r="G186" t="n">
        <v>4</v>
      </c>
      <c r="H186" t="n">
        <v>70.2</v>
      </c>
      <c r="I186" t="n">
        <v>1</v>
      </c>
      <c r="J186" t="n">
        <v>1</v>
      </c>
      <c r="K186" t="n">
        <v>1</v>
      </c>
      <c r="M186" t="inlineStr">
        <is>
          <t>matches_completely</t>
        </is>
      </c>
      <c r="N186" t="n">
        <v>5</v>
      </c>
      <c r="Q186" t="inlineStr">
        <is>
          <t>correct</t>
        </is>
      </c>
      <c r="R186" t="inlineStr">
        <is>
          <t>correct</t>
        </is>
      </c>
      <c r="S186" t="inlineStr">
        <is>
          <t>partially</t>
        </is>
      </c>
      <c r="T186" t="inlineStr">
        <is>
          <t>correct</t>
        </is>
      </c>
      <c r="U186">
        <f>IF(T186="correct",1,0)</f>
        <v/>
      </c>
      <c r="V186">
        <f>VLOOKUP(A186,Participants!$A$2:$B$86,2,FALSE)</f>
        <v/>
      </c>
    </row>
    <row r="187">
      <c r="A187" t="inlineStr">
        <is>
          <t>user_0037</t>
        </is>
      </c>
      <c r="B187" t="inlineStr">
        <is>
          <t>C2</t>
        </is>
      </c>
      <c r="C187" t="inlineStr">
        <is>
          <t>C3</t>
        </is>
      </c>
      <c r="D187" t="n">
        <v>5</v>
      </c>
      <c r="E187" t="inlineStr">
        <is>
          <t>2026-03-25T09:03:52.787677+00:00</t>
        </is>
      </c>
      <c r="F187" t="inlineStr">
        <is>
          <t>2026-03-25T09:03:52.808562+00:00</t>
        </is>
      </c>
      <c r="G187" t="n">
        <v>4</v>
      </c>
      <c r="H187" t="n">
        <v>62.98</v>
      </c>
      <c r="I187" t="n">
        <v>1</v>
      </c>
      <c r="J187" t="n">
        <v>1</v>
      </c>
      <c r="K187" t="n">
        <v>1</v>
      </c>
      <c r="M187" t="inlineStr">
        <is>
          <t>matches_completely</t>
        </is>
      </c>
      <c r="N187" t="n">
        <v>5</v>
      </c>
      <c r="Q187" t="inlineStr">
        <is>
          <t>correct</t>
        </is>
      </c>
      <c r="R187" t="inlineStr">
        <is>
          <t>correct</t>
        </is>
      </c>
      <c r="S187" t="inlineStr">
        <is>
          <t>matches_completely</t>
        </is>
      </c>
      <c r="T187" t="inlineStr">
        <is>
          <t>correct</t>
        </is>
      </c>
      <c r="U187">
        <f>IF(T187="correct",1,0)</f>
        <v/>
      </c>
      <c r="V187">
        <f>VLOOKUP(A187,Participants!$A$2:$B$86,2,FALSE)</f>
        <v/>
      </c>
    </row>
    <row r="188">
      <c r="A188" t="inlineStr">
        <is>
          <t>user_0039</t>
        </is>
      </c>
      <c r="B188" t="inlineStr">
        <is>
          <t>S1</t>
        </is>
      </c>
      <c r="C188" t="inlineStr">
        <is>
          <t>C1</t>
        </is>
      </c>
      <c r="D188" t="n">
        <v>0</v>
      </c>
      <c r="E188" t="inlineStr">
        <is>
          <t>2026-03-25T08:42:06.443181+00:00</t>
        </is>
      </c>
      <c r="F188" t="inlineStr">
        <is>
          <t>2026-03-25T08:42:06.462601+00:00</t>
        </is>
      </c>
      <c r="G188" t="n">
        <v>9</v>
      </c>
      <c r="H188" t="n">
        <v>35.36</v>
      </c>
      <c r="I188" t="n">
        <v>2</v>
      </c>
      <c r="J188" t="n">
        <v>1</v>
      </c>
      <c r="K188" t="n">
        <v>1</v>
      </c>
      <c r="M188" t="inlineStr">
        <is>
          <t>partially</t>
        </is>
      </c>
      <c r="N188" t="n">
        <v>4</v>
      </c>
      <c r="Q188" t="inlineStr">
        <is>
          <t>correct</t>
        </is>
      </c>
      <c r="R188" t="inlineStr">
        <is>
          <t>correct</t>
        </is>
      </c>
      <c r="S188" t="inlineStr">
        <is>
          <t>partially</t>
        </is>
      </c>
      <c r="T188" t="inlineStr">
        <is>
          <t>correct</t>
        </is>
      </c>
      <c r="U188">
        <f>IF(T188="correct",1,0)</f>
        <v/>
      </c>
      <c r="V188">
        <f>VLOOKUP(A188,Participants!$A$2:$B$86,2,FALSE)</f>
        <v/>
      </c>
    </row>
    <row r="189">
      <c r="A189" t="inlineStr">
        <is>
          <t>user_0039</t>
        </is>
      </c>
      <c r="B189" t="inlineStr">
        <is>
          <t>M1</t>
        </is>
      </c>
      <c r="C189" t="inlineStr">
        <is>
          <t>C2</t>
        </is>
      </c>
      <c r="D189" t="n">
        <v>1</v>
      </c>
      <c r="E189" t="inlineStr">
        <is>
          <t>2026-03-25T08:43:30.203485+00:00</t>
        </is>
      </c>
      <c r="F189" t="inlineStr">
        <is>
          <t>2026-03-25T08:43:30.316051+00:00</t>
        </is>
      </c>
      <c r="G189" t="n">
        <v>4</v>
      </c>
      <c r="H189" t="n">
        <v>20</v>
      </c>
      <c r="I189" t="n">
        <v>1</v>
      </c>
      <c r="J189" t="n">
        <v>1</v>
      </c>
      <c r="K189" t="n">
        <v>1</v>
      </c>
      <c r="M189" t="inlineStr">
        <is>
          <t>matches_completely</t>
        </is>
      </c>
      <c r="N189" t="n">
        <v>3</v>
      </c>
      <c r="Q189" t="inlineStr">
        <is>
          <t>correct</t>
        </is>
      </c>
      <c r="R189" t="inlineStr">
        <is>
          <t>correct</t>
        </is>
      </c>
      <c r="S189" t="inlineStr">
        <is>
          <t>matches_completely</t>
        </is>
      </c>
      <c r="T189" t="inlineStr">
        <is>
          <t>correct</t>
        </is>
      </c>
      <c r="U189">
        <f>IF(T189="correct",1,0)</f>
        <v/>
      </c>
      <c r="V189">
        <f>VLOOKUP(A189,Participants!$A$2:$B$86,2,FALSE)</f>
        <v/>
      </c>
    </row>
    <row r="190">
      <c r="A190" t="inlineStr">
        <is>
          <t>user_0039</t>
        </is>
      </c>
      <c r="B190" t="inlineStr">
        <is>
          <t>C1</t>
        </is>
      </c>
      <c r="C190" t="inlineStr">
        <is>
          <t>C3</t>
        </is>
      </c>
      <c r="D190" t="n">
        <v>2</v>
      </c>
      <c r="E190" t="inlineStr">
        <is>
          <t>2026-03-25T08:44:50.383690+00:00</t>
        </is>
      </c>
      <c r="F190" t="inlineStr">
        <is>
          <t>2026-03-25T08:44:50.401051+00:00</t>
        </is>
      </c>
      <c r="G190" t="n">
        <v>4</v>
      </c>
      <c r="H190" t="n">
        <v>33.86</v>
      </c>
      <c r="I190" t="n">
        <v>1</v>
      </c>
      <c r="J190" t="n">
        <v>1</v>
      </c>
      <c r="K190" t="n">
        <v>1</v>
      </c>
      <c r="M190" t="inlineStr">
        <is>
          <t>matches_completely</t>
        </is>
      </c>
      <c r="N190" t="n">
        <v>3</v>
      </c>
      <c r="Q190" t="inlineStr">
        <is>
          <t>correct</t>
        </is>
      </c>
      <c r="R190" t="inlineStr">
        <is>
          <t>correct</t>
        </is>
      </c>
      <c r="S190" t="inlineStr">
        <is>
          <t>matches_completely</t>
        </is>
      </c>
      <c r="T190" t="inlineStr">
        <is>
          <t>correct</t>
        </is>
      </c>
      <c r="U190">
        <f>IF(T190="correct",1,0)</f>
        <v/>
      </c>
      <c r="V190">
        <f>VLOOKUP(A190,Participants!$A$2:$B$86,2,FALSE)</f>
        <v/>
      </c>
    </row>
    <row r="191">
      <c r="A191" t="inlineStr">
        <is>
          <t>user_0039</t>
        </is>
      </c>
      <c r="B191" t="inlineStr">
        <is>
          <t>S2</t>
        </is>
      </c>
      <c r="C191" t="inlineStr">
        <is>
          <t>C1</t>
        </is>
      </c>
      <c r="D191" t="n">
        <v>3</v>
      </c>
      <c r="E191" t="inlineStr">
        <is>
          <t>2026-03-25T08:46:25.761614+00:00</t>
        </is>
      </c>
      <c r="F191" t="inlineStr">
        <is>
          <t>2026-03-25T08:46:25.779869+00:00</t>
        </is>
      </c>
      <c r="G191" t="n">
        <v>4</v>
      </c>
      <c r="H191" t="n">
        <v>90.42</v>
      </c>
      <c r="I191" t="n">
        <v>1</v>
      </c>
      <c r="J191" t="n">
        <v>1</v>
      </c>
      <c r="K191" t="n">
        <v>1</v>
      </c>
      <c r="M191" t="inlineStr">
        <is>
          <t>matches_completely</t>
        </is>
      </c>
      <c r="N191" t="n">
        <v>3</v>
      </c>
      <c r="Q191" t="inlineStr">
        <is>
          <t>correct</t>
        </is>
      </c>
      <c r="R191" t="inlineStr">
        <is>
          <t>correct</t>
        </is>
      </c>
      <c r="S191" t="inlineStr">
        <is>
          <t>matches_completely</t>
        </is>
      </c>
      <c r="T191" t="inlineStr">
        <is>
          <t>correct</t>
        </is>
      </c>
      <c r="U191">
        <f>IF(T191="correct",1,0)</f>
        <v/>
      </c>
      <c r="V191">
        <f>VLOOKUP(A191,Participants!$A$2:$B$86,2,FALSE)</f>
        <v/>
      </c>
    </row>
    <row r="192">
      <c r="A192" t="inlineStr">
        <is>
          <t>user_0039</t>
        </is>
      </c>
      <c r="B192" t="inlineStr">
        <is>
          <t>M2</t>
        </is>
      </c>
      <c r="C192" t="inlineStr">
        <is>
          <t>C2</t>
        </is>
      </c>
      <c r="D192" t="n">
        <v>4</v>
      </c>
      <c r="E192" t="inlineStr">
        <is>
          <t>2026-03-25T08:48:24.245517+00:00</t>
        </is>
      </c>
      <c r="F192" t="inlineStr">
        <is>
          <t>2026-03-25T08:48:24.263974+00:00</t>
        </is>
      </c>
      <c r="G192" t="n">
        <v>8</v>
      </c>
      <c r="H192" t="n">
        <v>102.55</v>
      </c>
      <c r="I192" t="n">
        <v>2</v>
      </c>
      <c r="J192" t="n">
        <v>1</v>
      </c>
      <c r="K192" t="n">
        <v>1</v>
      </c>
      <c r="M192" t="inlineStr">
        <is>
          <t>matches_completely</t>
        </is>
      </c>
      <c r="N192" t="n">
        <v>3</v>
      </c>
      <c r="Q192" t="inlineStr">
        <is>
          <t>correct</t>
        </is>
      </c>
      <c r="R192" t="inlineStr">
        <is>
          <t>correct</t>
        </is>
      </c>
      <c r="S192" t="inlineStr">
        <is>
          <t>partially</t>
        </is>
      </c>
      <c r="T192" t="inlineStr">
        <is>
          <t>correct</t>
        </is>
      </c>
      <c r="U192">
        <f>IF(T192="correct",1,0)</f>
        <v/>
      </c>
      <c r="V192">
        <f>VLOOKUP(A192,Participants!$A$2:$B$86,2,FALSE)</f>
        <v/>
      </c>
    </row>
    <row r="193">
      <c r="A193" t="inlineStr">
        <is>
          <t>user_0039</t>
        </is>
      </c>
      <c r="B193" t="inlineStr">
        <is>
          <t>C2</t>
        </is>
      </c>
      <c r="C193" t="inlineStr">
        <is>
          <t>C3</t>
        </is>
      </c>
      <c r="D193" t="n">
        <v>5</v>
      </c>
      <c r="E193" t="inlineStr">
        <is>
          <t>2026-03-25T08:50:24.381066+00:00</t>
        </is>
      </c>
      <c r="F193" t="inlineStr">
        <is>
          <t>2026-03-25T08:50:24.400300+00:00</t>
        </is>
      </c>
      <c r="G193" t="n">
        <v>4</v>
      </c>
      <c r="H193" t="n">
        <v>65.28</v>
      </c>
      <c r="I193" t="n">
        <v>1</v>
      </c>
      <c r="J193" t="n">
        <v>1</v>
      </c>
      <c r="K193" t="n">
        <v>1</v>
      </c>
      <c r="M193" t="inlineStr">
        <is>
          <t>matches_completely</t>
        </is>
      </c>
      <c r="N193" t="n">
        <v>3</v>
      </c>
      <c r="Q193" t="inlineStr">
        <is>
          <t>correct</t>
        </is>
      </c>
      <c r="R193" t="inlineStr">
        <is>
          <t>correct</t>
        </is>
      </c>
      <c r="S193" t="inlineStr">
        <is>
          <t>matches_completely</t>
        </is>
      </c>
      <c r="T193" t="inlineStr">
        <is>
          <t>correct</t>
        </is>
      </c>
      <c r="U193">
        <f>IF(T193="correct",1,0)</f>
        <v/>
      </c>
      <c r="V193">
        <f>VLOOKUP(A193,Participants!$A$2:$B$86,2,FALSE)</f>
        <v/>
      </c>
    </row>
    <row r="194">
      <c r="A194" t="inlineStr">
        <is>
          <t>user_0042</t>
        </is>
      </c>
      <c r="B194" t="inlineStr">
        <is>
          <t>S1</t>
        </is>
      </c>
      <c r="C194" t="inlineStr">
        <is>
          <t>C1</t>
        </is>
      </c>
      <c r="D194" t="n">
        <v>0</v>
      </c>
      <c r="E194" t="inlineStr">
        <is>
          <t>2026-03-25T08:41:56.806951+00:00</t>
        </is>
      </c>
      <c r="F194" t="inlineStr">
        <is>
          <t>2026-03-25T08:41:56.827338+00:00</t>
        </is>
      </c>
      <c r="G194" t="n">
        <v>4</v>
      </c>
      <c r="H194" t="n">
        <v>58.05</v>
      </c>
      <c r="I194" t="n">
        <v>1</v>
      </c>
      <c r="J194" t="n">
        <v>1</v>
      </c>
      <c r="K194" t="n">
        <v>1</v>
      </c>
      <c r="M194" t="inlineStr">
        <is>
          <t>matches_completely</t>
        </is>
      </c>
      <c r="N194" t="n">
        <v>4</v>
      </c>
      <c r="Q194" t="inlineStr">
        <is>
          <t>correct</t>
        </is>
      </c>
      <c r="R194" t="inlineStr">
        <is>
          <t>correct</t>
        </is>
      </c>
      <c r="S194" t="inlineStr">
        <is>
          <t>matches_completely</t>
        </is>
      </c>
      <c r="T194" t="inlineStr">
        <is>
          <t>correct</t>
        </is>
      </c>
      <c r="U194">
        <f>IF(T194="correct",1,0)</f>
        <v/>
      </c>
      <c r="V194">
        <f>VLOOKUP(A194,Participants!$A$2:$B$86,2,FALSE)</f>
        <v/>
      </c>
    </row>
    <row r="195">
      <c r="A195" t="inlineStr">
        <is>
          <t>user_0042</t>
        </is>
      </c>
      <c r="B195" t="inlineStr">
        <is>
          <t>M1</t>
        </is>
      </c>
      <c r="C195" t="inlineStr">
        <is>
          <t>C2</t>
        </is>
      </c>
      <c r="D195" t="n">
        <v>1</v>
      </c>
      <c r="E195" t="inlineStr">
        <is>
          <t>2026-03-25T08:56:56.325382+00:00</t>
        </is>
      </c>
      <c r="F195" t="inlineStr">
        <is>
          <t>2026-03-25T08:56:56.352473+00:00</t>
        </is>
      </c>
      <c r="G195" t="n">
        <v>7</v>
      </c>
      <c r="H195" t="n">
        <v>606.33</v>
      </c>
      <c r="I195" t="n">
        <v>1</v>
      </c>
      <c r="J195" t="n">
        <v>1</v>
      </c>
      <c r="K195" t="n">
        <v>1</v>
      </c>
      <c r="M195" t="inlineStr">
        <is>
          <t>does_not_match</t>
        </is>
      </c>
      <c r="N195" t="n">
        <v>3</v>
      </c>
      <c r="Q195" t="inlineStr">
        <is>
          <t>incorrect</t>
        </is>
      </c>
      <c r="R195" t="inlineStr">
        <is>
          <t>incorrect</t>
        </is>
      </c>
      <c r="S195" t="inlineStr">
        <is>
          <t>does_not_match</t>
        </is>
      </c>
      <c r="T195" t="inlineStr">
        <is>
          <t>incorrect</t>
        </is>
      </c>
      <c r="U195">
        <f>IF(T195="correct",1,0)</f>
        <v/>
      </c>
      <c r="V195">
        <f>VLOOKUP(A195,Participants!$A$2:$B$86,2,FALSE)</f>
        <v/>
      </c>
    </row>
    <row r="196">
      <c r="A196" t="inlineStr">
        <is>
          <t>user_0042</t>
        </is>
      </c>
      <c r="B196" t="inlineStr">
        <is>
          <t>C1</t>
        </is>
      </c>
      <c r="C196" t="inlineStr">
        <is>
          <t>C3</t>
        </is>
      </c>
      <c r="D196" t="n">
        <v>2</v>
      </c>
      <c r="E196" t="inlineStr">
        <is>
          <t>2026-03-25T08:58:11.587272+00:00</t>
        </is>
      </c>
      <c r="F196" t="inlineStr">
        <is>
          <t>2026-03-25T08:58:11.603160+00:00</t>
        </is>
      </c>
      <c r="G196" t="n">
        <v>4</v>
      </c>
      <c r="H196" t="n">
        <v>65.98</v>
      </c>
      <c r="I196" t="n">
        <v>1</v>
      </c>
      <c r="J196" t="n">
        <v>1</v>
      </c>
      <c r="K196" t="n">
        <v>1</v>
      </c>
      <c r="M196" t="inlineStr">
        <is>
          <t>matches_completely</t>
        </is>
      </c>
      <c r="N196" t="n">
        <v>3</v>
      </c>
      <c r="Q196" t="inlineStr">
        <is>
          <t>correct</t>
        </is>
      </c>
      <c r="R196" t="inlineStr">
        <is>
          <t>correct</t>
        </is>
      </c>
      <c r="S196" t="inlineStr">
        <is>
          <t>matches_completely</t>
        </is>
      </c>
      <c r="T196" t="inlineStr">
        <is>
          <t>correct</t>
        </is>
      </c>
      <c r="U196">
        <f>IF(T196="correct",1,0)</f>
        <v/>
      </c>
      <c r="V196">
        <f>VLOOKUP(A196,Participants!$A$2:$B$86,2,FALSE)</f>
        <v/>
      </c>
    </row>
    <row r="197">
      <c r="A197" t="inlineStr">
        <is>
          <t>user_0042</t>
        </is>
      </c>
      <c r="B197" t="inlineStr">
        <is>
          <t>S2</t>
        </is>
      </c>
      <c r="C197" t="inlineStr">
        <is>
          <t>C1</t>
        </is>
      </c>
      <c r="D197" t="n">
        <v>3</v>
      </c>
      <c r="E197" t="inlineStr">
        <is>
          <t>2026-03-25T08:59:05.881380+00:00</t>
        </is>
      </c>
      <c r="F197" t="inlineStr">
        <is>
          <t>2026-03-25T08:59:05.896316+00:00</t>
        </is>
      </c>
      <c r="G197" t="n">
        <v>4</v>
      </c>
      <c r="H197" t="n">
        <v>55.53</v>
      </c>
      <c r="I197" t="n">
        <v>1</v>
      </c>
      <c r="J197" t="n">
        <v>1</v>
      </c>
      <c r="K197" t="n">
        <v>1</v>
      </c>
      <c r="M197" t="inlineStr">
        <is>
          <t>matches_completely</t>
        </is>
      </c>
      <c r="N197" t="n">
        <v>3</v>
      </c>
      <c r="Q197" t="inlineStr">
        <is>
          <t>correct</t>
        </is>
      </c>
      <c r="R197" t="inlineStr">
        <is>
          <t>correct</t>
        </is>
      </c>
      <c r="S197" t="inlineStr">
        <is>
          <t>matches_completely</t>
        </is>
      </c>
      <c r="T197" t="inlineStr">
        <is>
          <t>correct</t>
        </is>
      </c>
      <c r="U197">
        <f>IF(T197="correct",1,0)</f>
        <v/>
      </c>
      <c r="V197">
        <f>VLOOKUP(A197,Participants!$A$2:$B$86,2,FALSE)</f>
        <v/>
      </c>
    </row>
    <row r="198">
      <c r="A198" t="inlineStr">
        <is>
          <t>user_0042</t>
        </is>
      </c>
      <c r="B198" t="inlineStr">
        <is>
          <t>M2</t>
        </is>
      </c>
      <c r="C198" t="inlineStr">
        <is>
          <t>C2</t>
        </is>
      </c>
      <c r="D198" t="n">
        <v>4</v>
      </c>
      <c r="E198" t="inlineStr">
        <is>
          <t>2026-03-25T08:59:32.201881+00:00</t>
        </is>
      </c>
      <c r="F198" t="inlineStr">
        <is>
          <t>2026-03-25T08:59:32.217817+00:00</t>
        </is>
      </c>
      <c r="G198" t="n">
        <v>4</v>
      </c>
      <c r="H198" t="n">
        <v>62.23</v>
      </c>
      <c r="I198" t="n">
        <v>1</v>
      </c>
      <c r="J198" t="n">
        <v>1</v>
      </c>
      <c r="K198" t="n">
        <v>1</v>
      </c>
      <c r="M198" t="inlineStr">
        <is>
          <t>matches_completely</t>
        </is>
      </c>
      <c r="N198" t="n">
        <v>3</v>
      </c>
      <c r="Q198" t="inlineStr">
        <is>
          <t>correct</t>
        </is>
      </c>
      <c r="R198" t="inlineStr">
        <is>
          <t>correct</t>
        </is>
      </c>
      <c r="S198" t="inlineStr">
        <is>
          <t>partially</t>
        </is>
      </c>
      <c r="T198" t="inlineStr">
        <is>
          <t>correct</t>
        </is>
      </c>
      <c r="U198">
        <f>IF(T198="correct",1,0)</f>
        <v/>
      </c>
      <c r="V198">
        <f>VLOOKUP(A198,Participants!$A$2:$B$86,2,FALSE)</f>
        <v/>
      </c>
    </row>
    <row r="199">
      <c r="A199" t="inlineStr">
        <is>
          <t>user_0042</t>
        </is>
      </c>
      <c r="B199" t="inlineStr">
        <is>
          <t>C2</t>
        </is>
      </c>
      <c r="C199" t="inlineStr">
        <is>
          <t>C3</t>
        </is>
      </c>
      <c r="D199" t="n">
        <v>5</v>
      </c>
      <c r="E199" t="inlineStr">
        <is>
          <t>2026-03-25T09:00:12.802752+00:00</t>
        </is>
      </c>
      <c r="F199" t="inlineStr">
        <is>
          <t>2026-03-25T09:00:12.818034+00:00</t>
        </is>
      </c>
      <c r="G199" t="n">
        <v>4</v>
      </c>
      <c r="H199" t="n">
        <v>51.28</v>
      </c>
      <c r="I199" t="n">
        <v>1</v>
      </c>
      <c r="J199" t="n">
        <v>1</v>
      </c>
      <c r="K199" t="n">
        <v>1</v>
      </c>
      <c r="M199" t="inlineStr">
        <is>
          <t>matches_completely</t>
        </is>
      </c>
      <c r="N199" t="n">
        <v>3</v>
      </c>
      <c r="Q199" t="inlineStr">
        <is>
          <t>correct</t>
        </is>
      </c>
      <c r="R199" t="inlineStr">
        <is>
          <t>correct</t>
        </is>
      </c>
      <c r="S199" t="inlineStr">
        <is>
          <t>matches_completely</t>
        </is>
      </c>
      <c r="T199" t="inlineStr">
        <is>
          <t>correct</t>
        </is>
      </c>
      <c r="U199">
        <f>IF(T199="correct",1,0)</f>
        <v/>
      </c>
      <c r="V199">
        <f>VLOOKUP(A199,Participants!$A$2:$B$86,2,FALSE)</f>
        <v/>
      </c>
    </row>
    <row r="200">
      <c r="A200" t="inlineStr">
        <is>
          <t>user_0043</t>
        </is>
      </c>
      <c r="B200" t="inlineStr">
        <is>
          <t>S1</t>
        </is>
      </c>
      <c r="C200" t="inlineStr">
        <is>
          <t>C1</t>
        </is>
      </c>
      <c r="D200" t="n">
        <v>0</v>
      </c>
      <c r="E200" t="inlineStr">
        <is>
          <t>2026-03-25T08:41:34.937444+00:00</t>
        </is>
      </c>
      <c r="F200" t="inlineStr">
        <is>
          <t>2026-03-25T08:41:34.955531+00:00</t>
        </is>
      </c>
      <c r="G200" t="n">
        <v>4</v>
      </c>
      <c r="H200" t="n">
        <v>53.64</v>
      </c>
      <c r="I200" t="n">
        <v>1</v>
      </c>
      <c r="J200" t="n">
        <v>1</v>
      </c>
      <c r="K200" t="n">
        <v>1</v>
      </c>
      <c r="M200" t="inlineStr">
        <is>
          <t>matches_completely</t>
        </is>
      </c>
      <c r="N200" t="n">
        <v>4</v>
      </c>
      <c r="Q200" t="inlineStr">
        <is>
          <t>correct</t>
        </is>
      </c>
      <c r="R200" t="inlineStr">
        <is>
          <t>correct</t>
        </is>
      </c>
      <c r="S200" t="inlineStr">
        <is>
          <t>matches_completely</t>
        </is>
      </c>
      <c r="T200" t="inlineStr">
        <is>
          <t>correct</t>
        </is>
      </c>
      <c r="U200">
        <f>IF(T200="correct",1,0)</f>
        <v/>
      </c>
      <c r="V200">
        <f>VLOOKUP(A200,Participants!$A$2:$B$86,2,FALSE)</f>
        <v/>
      </c>
    </row>
    <row r="201">
      <c r="A201" t="inlineStr">
        <is>
          <t>user_0043</t>
        </is>
      </c>
      <c r="B201" t="inlineStr">
        <is>
          <t>M1</t>
        </is>
      </c>
      <c r="C201" t="inlineStr">
        <is>
          <t>C2</t>
        </is>
      </c>
      <c r="D201" t="n">
        <v>1</v>
      </c>
      <c r="E201" t="inlineStr">
        <is>
          <t>2026-03-25T08:44:46.472850+00:00</t>
        </is>
      </c>
      <c r="F201" t="inlineStr">
        <is>
          <t>2026-03-25T08:44:46.491237+00:00</t>
        </is>
      </c>
      <c r="G201" t="n">
        <v>7</v>
      </c>
      <c r="H201" t="n">
        <v>20</v>
      </c>
      <c r="I201" t="n">
        <v>2</v>
      </c>
      <c r="J201" t="n">
        <v>1</v>
      </c>
      <c r="K201" t="n">
        <v>1</v>
      </c>
      <c r="M201" t="inlineStr">
        <is>
          <t>does_not_match</t>
        </is>
      </c>
      <c r="N201" t="n">
        <v>1</v>
      </c>
      <c r="Q201" t="inlineStr">
        <is>
          <t>incorrect</t>
        </is>
      </c>
      <c r="R201" t="inlineStr">
        <is>
          <t>incorrect</t>
        </is>
      </c>
      <c r="S201" t="inlineStr">
        <is>
          <t>matches_completely</t>
        </is>
      </c>
      <c r="T201" t="inlineStr">
        <is>
          <t>incorrect</t>
        </is>
      </c>
      <c r="U201">
        <f>IF(T201="correct",1,0)</f>
        <v/>
      </c>
      <c r="V201">
        <f>VLOOKUP(A201,Participants!$A$2:$B$86,2,FALSE)</f>
        <v/>
      </c>
    </row>
    <row r="202">
      <c r="A202" t="inlineStr">
        <is>
          <t>user_0043</t>
        </is>
      </c>
      <c r="B202" t="inlineStr">
        <is>
          <t>C1</t>
        </is>
      </c>
      <c r="C202" t="inlineStr">
        <is>
          <t>C3</t>
        </is>
      </c>
      <c r="D202" t="n">
        <v>2</v>
      </c>
      <c r="E202" t="inlineStr">
        <is>
          <t>2026-03-25T08:47:37.523690+00:00</t>
        </is>
      </c>
      <c r="F202" t="inlineStr">
        <is>
          <t>2026-03-25T08:47:37.541756+00:00</t>
        </is>
      </c>
      <c r="G202" t="n">
        <v>4</v>
      </c>
      <c r="H202" t="n">
        <v>37.02</v>
      </c>
      <c r="I202" t="n">
        <v>1</v>
      </c>
      <c r="J202" t="n">
        <v>1</v>
      </c>
      <c r="K202" t="n">
        <v>1</v>
      </c>
      <c r="M202" t="inlineStr">
        <is>
          <t>matches_completely</t>
        </is>
      </c>
      <c r="N202" t="n">
        <v>5</v>
      </c>
      <c r="Q202" t="inlineStr">
        <is>
          <t>correct</t>
        </is>
      </c>
      <c r="R202" t="inlineStr">
        <is>
          <t>correct</t>
        </is>
      </c>
      <c r="S202" t="inlineStr">
        <is>
          <t>matches_completely</t>
        </is>
      </c>
      <c r="T202" t="inlineStr">
        <is>
          <t>correct</t>
        </is>
      </c>
      <c r="U202">
        <f>IF(T202="correct",1,0)</f>
        <v/>
      </c>
      <c r="V202">
        <f>VLOOKUP(A202,Participants!$A$2:$B$86,2,FALSE)</f>
        <v/>
      </c>
    </row>
    <row r="203">
      <c r="A203" t="inlineStr">
        <is>
          <t>user_0043</t>
        </is>
      </c>
      <c r="B203" t="inlineStr">
        <is>
          <t>S2</t>
        </is>
      </c>
      <c r="C203" t="inlineStr">
        <is>
          <t>C1</t>
        </is>
      </c>
      <c r="D203" t="n">
        <v>3</v>
      </c>
      <c r="E203" t="inlineStr">
        <is>
          <t>2026-03-25T08:48:37.358736+00:00</t>
        </is>
      </c>
      <c r="F203" t="inlineStr">
        <is>
          <t>2026-03-25T08:48:37.382190+00:00</t>
        </is>
      </c>
      <c r="G203" t="n">
        <v>4</v>
      </c>
      <c r="H203" t="n">
        <v>74.22</v>
      </c>
      <c r="I203" t="n">
        <v>1</v>
      </c>
      <c r="J203" t="n">
        <v>1</v>
      </c>
      <c r="K203" t="n">
        <v>1</v>
      </c>
      <c r="M203" t="inlineStr">
        <is>
          <t>matches_completely</t>
        </is>
      </c>
      <c r="N203" t="n">
        <v>4</v>
      </c>
      <c r="Q203" t="inlineStr">
        <is>
          <t>correct</t>
        </is>
      </c>
      <c r="R203" t="inlineStr">
        <is>
          <t>correct</t>
        </is>
      </c>
      <c r="S203" t="inlineStr">
        <is>
          <t>matches_completely</t>
        </is>
      </c>
      <c r="T203" t="inlineStr">
        <is>
          <t>correct</t>
        </is>
      </c>
      <c r="U203">
        <f>IF(T203="correct",1,0)</f>
        <v/>
      </c>
      <c r="V203">
        <f>VLOOKUP(A203,Participants!$A$2:$B$86,2,FALSE)</f>
        <v/>
      </c>
    </row>
    <row r="204">
      <c r="A204" t="inlineStr">
        <is>
          <t>user_0043</t>
        </is>
      </c>
      <c r="B204" t="inlineStr">
        <is>
          <t>M2</t>
        </is>
      </c>
      <c r="C204" t="inlineStr">
        <is>
          <t>C2</t>
        </is>
      </c>
      <c r="D204" t="n">
        <v>4</v>
      </c>
      <c r="E204" t="inlineStr">
        <is>
          <t>2026-03-25T08:50:58.096819+00:00</t>
        </is>
      </c>
      <c r="F204" t="inlineStr">
        <is>
          <t>2026-03-25T08:50:58.113793+00:00</t>
        </is>
      </c>
      <c r="G204" t="n">
        <v>4</v>
      </c>
      <c r="H204" t="n">
        <v>80.02</v>
      </c>
      <c r="I204" t="n">
        <v>1</v>
      </c>
      <c r="J204" t="n">
        <v>1</v>
      </c>
      <c r="K204" t="n">
        <v>1</v>
      </c>
      <c r="M204" t="inlineStr">
        <is>
          <t>matches_completely</t>
        </is>
      </c>
      <c r="N204" t="n">
        <v>5</v>
      </c>
      <c r="Q204" t="inlineStr">
        <is>
          <t>correct</t>
        </is>
      </c>
      <c r="R204" t="inlineStr">
        <is>
          <t>correct</t>
        </is>
      </c>
      <c r="S204" t="inlineStr">
        <is>
          <t>partially</t>
        </is>
      </c>
      <c r="T204" t="inlineStr">
        <is>
          <t>correct</t>
        </is>
      </c>
      <c r="U204">
        <f>IF(T204="correct",1,0)</f>
        <v/>
      </c>
      <c r="V204">
        <f>VLOOKUP(A204,Participants!$A$2:$B$86,2,FALSE)</f>
        <v/>
      </c>
    </row>
    <row r="205">
      <c r="A205" t="inlineStr">
        <is>
          <t>user_0043</t>
        </is>
      </c>
      <c r="B205" t="inlineStr">
        <is>
          <t>C2</t>
        </is>
      </c>
      <c r="C205" t="inlineStr">
        <is>
          <t>C3</t>
        </is>
      </c>
      <c r="D205" t="n">
        <v>5</v>
      </c>
      <c r="E205" t="inlineStr">
        <is>
          <t>2026-03-25T08:52:49.054741+00:00</t>
        </is>
      </c>
      <c r="F205" t="inlineStr">
        <is>
          <t>2026-03-25T08:52:49.071381+00:00</t>
        </is>
      </c>
      <c r="G205" t="n">
        <v>8</v>
      </c>
      <c r="H205" t="n">
        <v>120.05</v>
      </c>
      <c r="I205" t="n">
        <v>2</v>
      </c>
      <c r="J205" t="n">
        <v>1</v>
      </c>
      <c r="K205" t="n">
        <v>1</v>
      </c>
      <c r="M205" t="inlineStr">
        <is>
          <t>matches_completely</t>
        </is>
      </c>
      <c r="N205" t="n">
        <v>3</v>
      </c>
      <c r="Q205" t="inlineStr">
        <is>
          <t>correct</t>
        </is>
      </c>
      <c r="R205" t="inlineStr">
        <is>
          <t>correct</t>
        </is>
      </c>
      <c r="S205" t="inlineStr">
        <is>
          <t>matches_completely</t>
        </is>
      </c>
      <c r="T205" t="inlineStr">
        <is>
          <t>correct</t>
        </is>
      </c>
      <c r="U205">
        <f>IF(T205="correct",1,0)</f>
        <v/>
      </c>
      <c r="V205">
        <f>VLOOKUP(A205,Participants!$A$2:$B$86,2,FALSE)</f>
        <v/>
      </c>
    </row>
    <row r="206">
      <c r="A206" t="inlineStr">
        <is>
          <t>user_0045</t>
        </is>
      </c>
      <c r="B206" t="inlineStr">
        <is>
          <t>S1</t>
        </is>
      </c>
      <c r="C206" t="inlineStr">
        <is>
          <t>C1</t>
        </is>
      </c>
      <c r="D206" t="n">
        <v>0</v>
      </c>
      <c r="E206" t="inlineStr">
        <is>
          <t>2026-03-25T08:41:50.404174+00:00</t>
        </is>
      </c>
      <c r="F206" t="inlineStr">
        <is>
          <t>2026-03-25T08:41:50.428519+00:00</t>
        </is>
      </c>
      <c r="G206" t="n">
        <v>7</v>
      </c>
      <c r="H206" t="n">
        <v>66.89</v>
      </c>
      <c r="I206" t="n">
        <v>2</v>
      </c>
      <c r="J206" t="n">
        <v>1</v>
      </c>
      <c r="K206" t="n">
        <v>1</v>
      </c>
      <c r="M206" t="inlineStr">
        <is>
          <t>matches_completely</t>
        </is>
      </c>
      <c r="N206" t="n">
        <v>5</v>
      </c>
      <c r="Q206" t="inlineStr">
        <is>
          <t>correct</t>
        </is>
      </c>
      <c r="R206" t="inlineStr">
        <is>
          <t>correct</t>
        </is>
      </c>
      <c r="S206" t="inlineStr">
        <is>
          <t>matches_completely</t>
        </is>
      </c>
      <c r="T206" t="inlineStr">
        <is>
          <t>correct</t>
        </is>
      </c>
      <c r="U206">
        <f>IF(T206="correct",1,0)</f>
        <v/>
      </c>
      <c r="V206">
        <f>VLOOKUP(A206,Participants!$A$2:$B$86,2,FALSE)</f>
        <v/>
      </c>
    </row>
    <row r="207">
      <c r="A207" t="inlineStr">
        <is>
          <t>user_0045</t>
        </is>
      </c>
      <c r="B207" t="inlineStr">
        <is>
          <t>M1</t>
        </is>
      </c>
      <c r="C207" t="inlineStr">
        <is>
          <t>C2</t>
        </is>
      </c>
      <c r="D207" t="n">
        <v>1</v>
      </c>
      <c r="E207" t="inlineStr">
        <is>
          <t>2026-03-25T08:44:07.399216+00:00</t>
        </is>
      </c>
      <c r="F207" t="inlineStr">
        <is>
          <t>2026-03-25T08:44:07.415316+00:00</t>
        </is>
      </c>
      <c r="G207" t="n">
        <v>4</v>
      </c>
      <c r="H207" t="n">
        <v>20</v>
      </c>
      <c r="I207" t="n">
        <v>1</v>
      </c>
      <c r="J207" t="n">
        <v>1</v>
      </c>
      <c r="K207" t="n">
        <v>1</v>
      </c>
      <c r="M207" t="inlineStr">
        <is>
          <t>matches_completely</t>
        </is>
      </c>
      <c r="N207" t="n">
        <v>5</v>
      </c>
      <c r="Q207" t="inlineStr">
        <is>
          <t>correct</t>
        </is>
      </c>
      <c r="R207" t="inlineStr">
        <is>
          <t>correct</t>
        </is>
      </c>
      <c r="S207" t="inlineStr">
        <is>
          <t>matches_completely</t>
        </is>
      </c>
      <c r="T207" t="inlineStr">
        <is>
          <t>correct</t>
        </is>
      </c>
      <c r="U207">
        <f>IF(T207="correct",1,0)</f>
        <v/>
      </c>
      <c r="V207">
        <f>VLOOKUP(A207,Participants!$A$2:$B$86,2,FALSE)</f>
        <v/>
      </c>
    </row>
    <row r="208">
      <c r="A208" t="inlineStr">
        <is>
          <t>user_0045</t>
        </is>
      </c>
      <c r="B208" t="inlineStr">
        <is>
          <t>C1</t>
        </is>
      </c>
      <c r="C208" t="inlineStr">
        <is>
          <t>C3</t>
        </is>
      </c>
      <c r="D208" t="n">
        <v>2</v>
      </c>
      <c r="E208" t="inlineStr">
        <is>
          <t>2026-03-25T08:45:24.181055+00:00</t>
        </is>
      </c>
      <c r="F208" t="inlineStr">
        <is>
          <t>2026-03-25T08:45:24.197620+00:00</t>
        </is>
      </c>
      <c r="G208" t="n">
        <v>4</v>
      </c>
      <c r="H208" t="n">
        <v>45.2</v>
      </c>
      <c r="I208" t="n">
        <v>1</v>
      </c>
      <c r="J208" t="n">
        <v>1</v>
      </c>
      <c r="K208" t="n">
        <v>1</v>
      </c>
      <c r="M208" t="inlineStr">
        <is>
          <t>matches_completely</t>
        </is>
      </c>
      <c r="N208" t="n">
        <v>5</v>
      </c>
      <c r="Q208" t="inlineStr">
        <is>
          <t>correct</t>
        </is>
      </c>
      <c r="R208" t="inlineStr">
        <is>
          <t>correct</t>
        </is>
      </c>
      <c r="S208" t="inlineStr">
        <is>
          <t>matches_completely</t>
        </is>
      </c>
      <c r="T208" t="inlineStr">
        <is>
          <t>correct</t>
        </is>
      </c>
      <c r="U208">
        <f>IF(T208="correct",1,0)</f>
        <v/>
      </c>
      <c r="V208">
        <f>VLOOKUP(A208,Participants!$A$2:$B$86,2,FALSE)</f>
        <v/>
      </c>
    </row>
    <row r="209">
      <c r="A209" t="inlineStr">
        <is>
          <t>user_0045</t>
        </is>
      </c>
      <c r="B209" t="inlineStr">
        <is>
          <t>S2</t>
        </is>
      </c>
      <c r="C209" t="inlineStr">
        <is>
          <t>C1</t>
        </is>
      </c>
      <c r="D209" t="n">
        <v>3</v>
      </c>
      <c r="E209" t="inlineStr">
        <is>
          <t>2026-03-25T08:48:05.460261+00:00</t>
        </is>
      </c>
      <c r="F209" t="inlineStr">
        <is>
          <t>2026-03-25T08:48:05.477128+00:00</t>
        </is>
      </c>
      <c r="G209" t="n">
        <v>4</v>
      </c>
      <c r="H209" t="n">
        <v>111.75</v>
      </c>
      <c r="I209" t="n">
        <v>1</v>
      </c>
      <c r="J209" t="n">
        <v>1</v>
      </c>
      <c r="K209" t="n">
        <v>1</v>
      </c>
      <c r="M209" t="inlineStr">
        <is>
          <t>matches_completely</t>
        </is>
      </c>
      <c r="N209" t="n">
        <v>5</v>
      </c>
      <c r="Q209" t="inlineStr">
        <is>
          <t>correct</t>
        </is>
      </c>
      <c r="R209" t="inlineStr">
        <is>
          <t>correct</t>
        </is>
      </c>
      <c r="S209" t="inlineStr">
        <is>
          <t>matches_completely</t>
        </is>
      </c>
      <c r="T209" t="inlineStr">
        <is>
          <t>correct</t>
        </is>
      </c>
      <c r="U209">
        <f>IF(T209="correct",1,0)</f>
        <v/>
      </c>
      <c r="V209">
        <f>VLOOKUP(A209,Participants!$A$2:$B$86,2,FALSE)</f>
        <v/>
      </c>
    </row>
    <row r="210">
      <c r="A210" t="inlineStr">
        <is>
          <t>user_0045</t>
        </is>
      </c>
      <c r="B210" t="inlineStr">
        <is>
          <t>M2</t>
        </is>
      </c>
      <c r="C210" t="inlineStr">
        <is>
          <t>C2</t>
        </is>
      </c>
      <c r="D210" t="n">
        <v>4</v>
      </c>
      <c r="E210" t="inlineStr">
        <is>
          <t>2026-03-25T08:49:39.008376+00:00</t>
        </is>
      </c>
      <c r="F210" t="inlineStr">
        <is>
          <t>2026-03-25T08:49:39.027286+00:00</t>
        </is>
      </c>
      <c r="G210" t="n">
        <v>4</v>
      </c>
      <c r="H210" t="n">
        <v>97.53</v>
      </c>
      <c r="I210" t="n">
        <v>1</v>
      </c>
      <c r="J210" t="n">
        <v>1</v>
      </c>
      <c r="K210" t="n">
        <v>1</v>
      </c>
      <c r="M210" t="inlineStr">
        <is>
          <t>matches_completely</t>
        </is>
      </c>
      <c r="N210" t="n">
        <v>5</v>
      </c>
      <c r="Q210" t="inlineStr">
        <is>
          <t>correct</t>
        </is>
      </c>
      <c r="R210" t="inlineStr">
        <is>
          <t>correct</t>
        </is>
      </c>
      <c r="S210" t="inlineStr">
        <is>
          <t>partially</t>
        </is>
      </c>
      <c r="T210" t="inlineStr">
        <is>
          <t>correct</t>
        </is>
      </c>
      <c r="U210">
        <f>IF(T210="correct",1,0)</f>
        <v/>
      </c>
      <c r="V210">
        <f>VLOOKUP(A210,Participants!$A$2:$B$86,2,FALSE)</f>
        <v/>
      </c>
    </row>
    <row r="211">
      <c r="A211" t="inlineStr">
        <is>
          <t>user_0045</t>
        </is>
      </c>
      <c r="B211" t="inlineStr">
        <is>
          <t>C2</t>
        </is>
      </c>
      <c r="C211" t="inlineStr">
        <is>
          <t>C3</t>
        </is>
      </c>
      <c r="D211" t="n">
        <v>5</v>
      </c>
      <c r="E211" t="inlineStr">
        <is>
          <t>2026-03-25T08:52:08.670892+00:00</t>
        </is>
      </c>
      <c r="F211" t="inlineStr">
        <is>
          <t>2026-03-25T08:52:08.688299+00:00</t>
        </is>
      </c>
      <c r="G211" t="n">
        <v>4</v>
      </c>
      <c r="H211" t="n">
        <v>119.5</v>
      </c>
      <c r="I211" t="n">
        <v>1</v>
      </c>
      <c r="J211" t="n">
        <v>1</v>
      </c>
      <c r="K211" t="n">
        <v>1</v>
      </c>
      <c r="M211" t="inlineStr">
        <is>
          <t>matches_completely</t>
        </is>
      </c>
      <c r="N211" t="n">
        <v>5</v>
      </c>
      <c r="Q211" t="inlineStr">
        <is>
          <t>correct</t>
        </is>
      </c>
      <c r="R211" t="inlineStr">
        <is>
          <t>correct</t>
        </is>
      </c>
      <c r="S211" t="inlineStr">
        <is>
          <t>matches_completely</t>
        </is>
      </c>
      <c r="T211" t="inlineStr">
        <is>
          <t>correct</t>
        </is>
      </c>
      <c r="U211">
        <f>IF(T211="correct",1,0)</f>
        <v/>
      </c>
      <c r="V211">
        <f>VLOOKUP(A211,Participants!$A$2:$B$86,2,FALSE)</f>
        <v/>
      </c>
    </row>
    <row r="212">
      <c r="A212" t="inlineStr">
        <is>
          <t>user_0046</t>
        </is>
      </c>
      <c r="B212" t="inlineStr">
        <is>
          <t>S1</t>
        </is>
      </c>
      <c r="C212" t="inlineStr">
        <is>
          <t>C1</t>
        </is>
      </c>
      <c r="D212" t="n">
        <v>0</v>
      </c>
      <c r="E212" t="inlineStr">
        <is>
          <t>2026-03-25T08:43:36.341708+00:00</t>
        </is>
      </c>
      <c r="F212" t="inlineStr">
        <is>
          <t>2026-03-25T08:43:36.360167+00:00</t>
        </is>
      </c>
      <c r="G212" t="n">
        <v>8</v>
      </c>
      <c r="H212" t="n">
        <v>32.06</v>
      </c>
      <c r="I212" t="n">
        <v>2</v>
      </c>
      <c r="J212" t="n">
        <v>1</v>
      </c>
      <c r="K212" t="n">
        <v>1</v>
      </c>
      <c r="M212" t="inlineStr">
        <is>
          <t>matches_completely</t>
        </is>
      </c>
      <c r="N212" t="n">
        <v>5</v>
      </c>
      <c r="Q212" t="inlineStr">
        <is>
          <t>correct</t>
        </is>
      </c>
      <c r="R212" t="inlineStr">
        <is>
          <t>correct</t>
        </is>
      </c>
      <c r="S212" t="inlineStr">
        <is>
          <t>matches_completely</t>
        </is>
      </c>
      <c r="T212" t="inlineStr">
        <is>
          <t>correct</t>
        </is>
      </c>
      <c r="U212">
        <f>IF(T212="correct",1,0)</f>
        <v/>
      </c>
      <c r="V212">
        <f>VLOOKUP(A212,Participants!$A$2:$B$86,2,FALSE)</f>
        <v/>
      </c>
    </row>
    <row r="213">
      <c r="A213" t="inlineStr">
        <is>
          <t>user_0046</t>
        </is>
      </c>
      <c r="B213" t="inlineStr">
        <is>
          <t>M1</t>
        </is>
      </c>
      <c r="C213" t="inlineStr">
        <is>
          <t>C2</t>
        </is>
      </c>
      <c r="D213" t="n">
        <v>1</v>
      </c>
      <c r="E213" t="inlineStr">
        <is>
          <t>2026-03-25T08:51:10.693161+00:00</t>
        </is>
      </c>
      <c r="F213" t="inlineStr">
        <is>
          <t>2026-03-25T08:51:10.710640+00:00</t>
        </is>
      </c>
      <c r="G213" t="n">
        <v>11</v>
      </c>
      <c r="H213" t="n">
        <v>224.86</v>
      </c>
      <c r="I213" t="n">
        <v>3</v>
      </c>
      <c r="J213" t="n">
        <v>1</v>
      </c>
      <c r="K213" t="n">
        <v>0</v>
      </c>
      <c r="M213" t="inlineStr">
        <is>
          <t>matches_completely</t>
        </is>
      </c>
      <c r="N213" t="n">
        <v>4</v>
      </c>
      <c r="Q213" t="inlineStr">
        <is>
          <t>correct</t>
        </is>
      </c>
      <c r="R213" t="inlineStr">
        <is>
          <t>correct</t>
        </is>
      </c>
      <c r="S213" t="inlineStr">
        <is>
          <t>matches_completely</t>
        </is>
      </c>
      <c r="T213" t="inlineStr">
        <is>
          <t>correct</t>
        </is>
      </c>
      <c r="U213">
        <f>IF(T213="correct",1,0)</f>
        <v/>
      </c>
      <c r="V213">
        <f>VLOOKUP(A213,Participants!$A$2:$B$86,2,FALSE)</f>
        <v/>
      </c>
    </row>
    <row r="214">
      <c r="A214" t="inlineStr">
        <is>
          <t>user_0046</t>
        </is>
      </c>
      <c r="B214" t="inlineStr">
        <is>
          <t>C1</t>
        </is>
      </c>
      <c r="C214" t="inlineStr">
        <is>
          <t>C3</t>
        </is>
      </c>
      <c r="D214" t="n">
        <v>2</v>
      </c>
      <c r="E214" t="inlineStr">
        <is>
          <t>2026-03-25T08:54:25.998920+00:00</t>
        </is>
      </c>
      <c r="F214" t="inlineStr">
        <is>
          <t>2026-03-25T08:54:26.022072+00:00</t>
        </is>
      </c>
      <c r="G214" t="n">
        <v>8</v>
      </c>
      <c r="H214" t="n">
        <v>72.62</v>
      </c>
      <c r="I214" t="n">
        <v>2</v>
      </c>
      <c r="J214" t="n">
        <v>1</v>
      </c>
      <c r="K214" t="n">
        <v>0</v>
      </c>
      <c r="M214" t="inlineStr">
        <is>
          <t>matches_completely</t>
        </is>
      </c>
      <c r="N214" t="n">
        <v>5</v>
      </c>
      <c r="Q214" t="inlineStr">
        <is>
          <t>correct</t>
        </is>
      </c>
      <c r="R214" t="inlineStr">
        <is>
          <t>correct</t>
        </is>
      </c>
      <c r="S214" t="inlineStr">
        <is>
          <t>matches_completely</t>
        </is>
      </c>
      <c r="T214" t="inlineStr">
        <is>
          <t>correct</t>
        </is>
      </c>
      <c r="U214">
        <f>IF(T214="correct",1,0)</f>
        <v/>
      </c>
      <c r="V214">
        <f>VLOOKUP(A214,Participants!$A$2:$B$86,2,FALSE)</f>
        <v/>
      </c>
    </row>
    <row r="215">
      <c r="A215" t="inlineStr">
        <is>
          <t>user_0046</t>
        </is>
      </c>
      <c r="B215" t="inlineStr">
        <is>
          <t>S2</t>
        </is>
      </c>
      <c r="C215" t="inlineStr">
        <is>
          <t>C1</t>
        </is>
      </c>
      <c r="D215" t="n">
        <v>3</v>
      </c>
      <c r="E215" t="inlineStr">
        <is>
          <t>2026-03-25T08:55:17.776484+00:00</t>
        </is>
      </c>
      <c r="F215" t="inlineStr">
        <is>
          <t>2026-03-25T08:55:17.796069+00:00</t>
        </is>
      </c>
      <c r="G215" t="n">
        <v>4</v>
      </c>
      <c r="H215" t="n">
        <v>65.3</v>
      </c>
      <c r="I215" t="n">
        <v>1</v>
      </c>
      <c r="J215" t="n">
        <v>1</v>
      </c>
      <c r="K215" t="n">
        <v>1</v>
      </c>
      <c r="M215" t="inlineStr">
        <is>
          <t>matches_completely</t>
        </is>
      </c>
      <c r="N215" t="n">
        <v>5</v>
      </c>
      <c r="Q215" t="inlineStr">
        <is>
          <t>correct</t>
        </is>
      </c>
      <c r="R215" t="inlineStr">
        <is>
          <t>correct</t>
        </is>
      </c>
      <c r="S215" t="inlineStr">
        <is>
          <t>matches_completely</t>
        </is>
      </c>
      <c r="T215" t="inlineStr">
        <is>
          <t>correct</t>
        </is>
      </c>
      <c r="U215">
        <f>IF(T215="correct",1,0)</f>
        <v/>
      </c>
      <c r="V215">
        <f>VLOOKUP(A215,Participants!$A$2:$B$86,2,FALSE)</f>
        <v/>
      </c>
    </row>
    <row r="216">
      <c r="A216" t="inlineStr">
        <is>
          <t>user_0046</t>
        </is>
      </c>
      <c r="B216" t="inlineStr">
        <is>
          <t>M2</t>
        </is>
      </c>
      <c r="C216" t="inlineStr">
        <is>
          <t>C2</t>
        </is>
      </c>
      <c r="D216" t="n">
        <v>4</v>
      </c>
      <c r="E216" t="inlineStr">
        <is>
          <t>2026-03-25T08:55:55.031696+00:00</t>
        </is>
      </c>
      <c r="F216" t="inlineStr">
        <is>
          <t>2026-03-25T08:55:55.047485+00:00</t>
        </is>
      </c>
      <c r="G216" t="n">
        <v>4</v>
      </c>
      <c r="H216" t="n">
        <v>64.67</v>
      </c>
      <c r="I216" t="n">
        <v>1</v>
      </c>
      <c r="J216" t="n">
        <v>1</v>
      </c>
      <c r="K216" t="n">
        <v>1</v>
      </c>
      <c r="M216" t="inlineStr">
        <is>
          <t>matches_completely</t>
        </is>
      </c>
      <c r="N216" t="n">
        <v>5</v>
      </c>
      <c r="Q216" t="inlineStr">
        <is>
          <t>correct</t>
        </is>
      </c>
      <c r="R216" t="inlineStr">
        <is>
          <t>correct</t>
        </is>
      </c>
      <c r="S216" t="inlineStr">
        <is>
          <t>matches_completely</t>
        </is>
      </c>
      <c r="T216" t="inlineStr">
        <is>
          <t>correct</t>
        </is>
      </c>
      <c r="U216">
        <f>IF(T216="correct",1,0)</f>
        <v/>
      </c>
      <c r="V216">
        <f>VLOOKUP(A216,Participants!$A$2:$B$86,2,FALSE)</f>
        <v/>
      </c>
    </row>
    <row r="217">
      <c r="A217" t="inlineStr">
        <is>
          <t>user_0046</t>
        </is>
      </c>
      <c r="B217" t="inlineStr">
        <is>
          <t>C2</t>
        </is>
      </c>
      <c r="C217" t="inlineStr">
        <is>
          <t>C3</t>
        </is>
      </c>
      <c r="D217" t="n">
        <v>5</v>
      </c>
      <c r="E217" t="inlineStr">
        <is>
          <t>2026-03-25T08:56:47.687071+00:00</t>
        </is>
      </c>
      <c r="F217" t="inlineStr">
        <is>
          <t>2026-03-25T08:56:47.702921+00:00</t>
        </is>
      </c>
      <c r="G217" t="n">
        <v>4</v>
      </c>
      <c r="H217" t="n">
        <v>63.09</v>
      </c>
      <c r="I217" t="n">
        <v>1</v>
      </c>
      <c r="J217" t="n">
        <v>1</v>
      </c>
      <c r="K217" t="n">
        <v>1</v>
      </c>
      <c r="M217" t="inlineStr">
        <is>
          <t>matches_completely</t>
        </is>
      </c>
      <c r="N217" t="n">
        <v>5</v>
      </c>
      <c r="Q217" t="inlineStr">
        <is>
          <t>correct</t>
        </is>
      </c>
      <c r="R217" t="inlineStr">
        <is>
          <t>correct</t>
        </is>
      </c>
      <c r="S217" t="inlineStr">
        <is>
          <t>matches_completely</t>
        </is>
      </c>
      <c r="T217" t="inlineStr">
        <is>
          <t>correct</t>
        </is>
      </c>
      <c r="U217">
        <f>IF(T217="correct",1,0)</f>
        <v/>
      </c>
      <c r="V217">
        <f>VLOOKUP(A217,Participants!$A$2:$B$86,2,FALSE)</f>
        <v/>
      </c>
    </row>
    <row r="218">
      <c r="A218" t="inlineStr">
        <is>
          <t>user_0047</t>
        </is>
      </c>
      <c r="B218" t="inlineStr">
        <is>
          <t>S1</t>
        </is>
      </c>
      <c r="C218" t="inlineStr">
        <is>
          <t>C1</t>
        </is>
      </c>
      <c r="D218" t="n">
        <v>0</v>
      </c>
      <c r="E218" t="inlineStr">
        <is>
          <t>2026-03-25T10:27:50.685279+00:00</t>
        </is>
      </c>
      <c r="F218" t="inlineStr">
        <is>
          <t>2026-03-25T10:27:50.703378+00:00</t>
        </is>
      </c>
      <c r="G218" t="n">
        <v>4</v>
      </c>
      <c r="H218" t="n">
        <v>98.09</v>
      </c>
      <c r="I218" t="n">
        <v>1</v>
      </c>
      <c r="J218" t="n">
        <v>1</v>
      </c>
      <c r="K218" t="n">
        <v>1</v>
      </c>
      <c r="M218" t="inlineStr">
        <is>
          <t>partially</t>
        </is>
      </c>
      <c r="N218" t="n">
        <v>4</v>
      </c>
      <c r="Q218" t="inlineStr">
        <is>
          <t>correct</t>
        </is>
      </c>
      <c r="R218" t="inlineStr">
        <is>
          <t>correct</t>
        </is>
      </c>
      <c r="S218" t="inlineStr">
        <is>
          <t>matches_completely</t>
        </is>
      </c>
      <c r="T218" t="inlineStr">
        <is>
          <t>correct</t>
        </is>
      </c>
      <c r="U218">
        <f>IF(T218="correct",1,0)</f>
        <v/>
      </c>
      <c r="V218">
        <f>VLOOKUP(A218,Participants!$A$2:$B$86,2,FALSE)</f>
        <v/>
      </c>
    </row>
    <row r="219">
      <c r="A219" t="inlineStr">
        <is>
          <t>user_0047</t>
        </is>
      </c>
      <c r="B219" t="inlineStr">
        <is>
          <t>M1</t>
        </is>
      </c>
      <c r="C219" t="inlineStr">
        <is>
          <t>C2</t>
        </is>
      </c>
      <c r="D219" t="n">
        <v>1</v>
      </c>
      <c r="E219" t="inlineStr">
        <is>
          <t>2026-03-25T10:29:46.668496+00:00</t>
        </is>
      </c>
      <c r="F219" t="inlineStr">
        <is>
          <t>2026-03-25T10:29:46.686764+00:00</t>
        </is>
      </c>
      <c r="G219" t="n">
        <v>4</v>
      </c>
      <c r="H219" t="n">
        <v>20</v>
      </c>
      <c r="I219" t="n">
        <v>1</v>
      </c>
      <c r="J219" t="n">
        <v>1</v>
      </c>
      <c r="K219" t="n">
        <v>1</v>
      </c>
      <c r="M219" t="inlineStr">
        <is>
          <t>matches_completely</t>
        </is>
      </c>
      <c r="N219" t="n">
        <v>5</v>
      </c>
      <c r="Q219" t="inlineStr">
        <is>
          <t>correct</t>
        </is>
      </c>
      <c r="R219" t="inlineStr">
        <is>
          <t>correct</t>
        </is>
      </c>
      <c r="S219" t="inlineStr">
        <is>
          <t>matches_completely</t>
        </is>
      </c>
      <c r="T219" t="inlineStr">
        <is>
          <t>correct</t>
        </is>
      </c>
      <c r="U219">
        <f>IF(T219="correct",1,0)</f>
        <v/>
      </c>
      <c r="V219">
        <f>VLOOKUP(A219,Participants!$A$2:$B$86,2,FALSE)</f>
        <v/>
      </c>
    </row>
    <row r="220">
      <c r="A220" t="inlineStr">
        <is>
          <t>user_0047</t>
        </is>
      </c>
      <c r="B220" t="inlineStr">
        <is>
          <t>C1</t>
        </is>
      </c>
      <c r="C220" t="inlineStr">
        <is>
          <t>C3</t>
        </is>
      </c>
      <c r="D220" t="n">
        <v>2</v>
      </c>
      <c r="E220" t="inlineStr">
        <is>
          <t>2026-03-25T10:31:56.536869+00:00</t>
        </is>
      </c>
      <c r="F220" t="inlineStr">
        <is>
          <t>2026-03-25T10:31:56.555700+00:00</t>
        </is>
      </c>
      <c r="G220" t="n">
        <v>4</v>
      </c>
      <c r="H220" t="n">
        <v>89.28</v>
      </c>
      <c r="I220" t="n">
        <v>1</v>
      </c>
      <c r="J220" t="n">
        <v>1</v>
      </c>
      <c r="K220" t="n">
        <v>1</v>
      </c>
      <c r="M220" t="inlineStr">
        <is>
          <t>partially</t>
        </is>
      </c>
      <c r="N220" t="n">
        <v>3</v>
      </c>
      <c r="Q220" t="inlineStr">
        <is>
          <t>correct</t>
        </is>
      </c>
      <c r="R220" t="inlineStr">
        <is>
          <t>incorrect</t>
        </is>
      </c>
      <c r="S220" t="inlineStr">
        <is>
          <t>matches_completely</t>
        </is>
      </c>
      <c r="T220" t="inlineStr">
        <is>
          <t>correct</t>
        </is>
      </c>
      <c r="U220">
        <f>IF(T220="correct",1,0)</f>
        <v/>
      </c>
      <c r="V220">
        <f>VLOOKUP(A220,Participants!$A$2:$B$86,2,FALSE)</f>
        <v/>
      </c>
    </row>
    <row r="221">
      <c r="A221" t="inlineStr">
        <is>
          <t>user_0047</t>
        </is>
      </c>
      <c r="B221" t="inlineStr">
        <is>
          <t>S2</t>
        </is>
      </c>
      <c r="C221" t="inlineStr">
        <is>
          <t>C1</t>
        </is>
      </c>
      <c r="D221" t="n">
        <v>3</v>
      </c>
      <c r="E221" t="inlineStr">
        <is>
          <t>2026-03-25T10:38:23.312996+00:00</t>
        </is>
      </c>
      <c r="F221" t="inlineStr">
        <is>
          <t>2026-03-25T10:38:23.330650+00:00</t>
        </is>
      </c>
      <c r="G221" t="n">
        <v>4</v>
      </c>
      <c r="H221" t="n">
        <v>106.98</v>
      </c>
      <c r="I221" t="n">
        <v>1</v>
      </c>
      <c r="J221" t="n">
        <v>1</v>
      </c>
      <c r="K221" t="n">
        <v>1</v>
      </c>
      <c r="M221" t="inlineStr">
        <is>
          <t>matches_completely</t>
        </is>
      </c>
      <c r="N221" t="n">
        <v>5</v>
      </c>
      <c r="Q221" t="inlineStr">
        <is>
          <t>correct</t>
        </is>
      </c>
      <c r="R221" t="inlineStr">
        <is>
          <t>correct</t>
        </is>
      </c>
      <c r="S221" t="inlineStr">
        <is>
          <t>matches_completely</t>
        </is>
      </c>
      <c r="T221" t="inlineStr">
        <is>
          <t>correct</t>
        </is>
      </c>
      <c r="U221">
        <f>IF(T221="correct",1,0)</f>
        <v/>
      </c>
      <c r="V221">
        <f>VLOOKUP(A221,Participants!$A$2:$B$86,2,FALSE)</f>
        <v/>
      </c>
    </row>
    <row r="222">
      <c r="A222" t="inlineStr">
        <is>
          <t>user_0047</t>
        </is>
      </c>
      <c r="B222" t="inlineStr">
        <is>
          <t>M2</t>
        </is>
      </c>
      <c r="C222" t="inlineStr">
        <is>
          <t>C2</t>
        </is>
      </c>
      <c r="D222" t="n">
        <v>4</v>
      </c>
      <c r="E222" t="inlineStr">
        <is>
          <t>2026-03-25T10:40:10.528642+00:00</t>
        </is>
      </c>
      <c r="F222" t="inlineStr">
        <is>
          <t>2026-03-25T10:40:10.545246+00:00</t>
        </is>
      </c>
      <c r="G222" t="n">
        <v>4</v>
      </c>
      <c r="H222" t="n">
        <v>90.75</v>
      </c>
      <c r="I222" t="n">
        <v>1</v>
      </c>
      <c r="J222" t="n">
        <v>1</v>
      </c>
      <c r="K222" t="n">
        <v>1</v>
      </c>
      <c r="M222" t="inlineStr">
        <is>
          <t>partially</t>
        </is>
      </c>
      <c r="N222" t="n">
        <v>4</v>
      </c>
      <c r="Q222" t="inlineStr">
        <is>
          <t>correct</t>
        </is>
      </c>
      <c r="R222" t="inlineStr">
        <is>
          <t>correct</t>
        </is>
      </c>
      <c r="S222" t="inlineStr">
        <is>
          <t>partially</t>
        </is>
      </c>
      <c r="T222" t="inlineStr">
        <is>
          <t>correct</t>
        </is>
      </c>
      <c r="U222">
        <f>IF(T222="correct",1,0)</f>
        <v/>
      </c>
      <c r="V222">
        <f>VLOOKUP(A222,Participants!$A$2:$B$86,2,FALSE)</f>
        <v/>
      </c>
    </row>
    <row r="223">
      <c r="A223" t="inlineStr">
        <is>
          <t>user_0047</t>
        </is>
      </c>
      <c r="B223" t="inlineStr">
        <is>
          <t>C2</t>
        </is>
      </c>
      <c r="C223" t="inlineStr">
        <is>
          <t>C3</t>
        </is>
      </c>
      <c r="D223" t="n">
        <v>5</v>
      </c>
      <c r="E223" t="inlineStr">
        <is>
          <t>2026-03-25T10:42:01.895604+00:00</t>
        </is>
      </c>
      <c r="F223" t="inlineStr">
        <is>
          <t>2026-03-25T10:42:01.913175+00:00</t>
        </is>
      </c>
      <c r="G223" t="n">
        <v>4</v>
      </c>
      <c r="H223" t="n">
        <v>90.33</v>
      </c>
      <c r="I223" t="n">
        <v>1</v>
      </c>
      <c r="J223" t="n">
        <v>1</v>
      </c>
      <c r="K223" t="n">
        <v>1</v>
      </c>
      <c r="M223" t="inlineStr">
        <is>
          <t>partially</t>
        </is>
      </c>
      <c r="N223" t="n">
        <v>4</v>
      </c>
      <c r="Q223" t="inlineStr">
        <is>
          <t>correct</t>
        </is>
      </c>
      <c r="R223" t="inlineStr">
        <is>
          <t>incorrect</t>
        </is>
      </c>
      <c r="S223" t="inlineStr">
        <is>
          <t>matches_completely</t>
        </is>
      </c>
      <c r="T223" t="inlineStr">
        <is>
          <t>correct</t>
        </is>
      </c>
      <c r="U223">
        <f>IF(T223="correct",1,0)</f>
        <v/>
      </c>
      <c r="V223">
        <f>VLOOKUP(A223,Participants!$A$2:$B$86,2,FALSE)</f>
        <v/>
      </c>
    </row>
    <row r="224">
      <c r="A224" t="inlineStr">
        <is>
          <t>user_0048</t>
        </is>
      </c>
      <c r="B224" t="inlineStr">
        <is>
          <t>S1</t>
        </is>
      </c>
      <c r="C224" t="inlineStr">
        <is>
          <t>C1</t>
        </is>
      </c>
      <c r="D224" t="n">
        <v>0</v>
      </c>
      <c r="E224" t="inlineStr">
        <is>
          <t>2026-03-25T08:40:51.131224+00:00</t>
        </is>
      </c>
      <c r="F224" t="inlineStr">
        <is>
          <t>2026-03-25T08:40:51.148258+00:00</t>
        </is>
      </c>
      <c r="G224" t="n">
        <v>5</v>
      </c>
      <c r="H224" t="n">
        <v>20</v>
      </c>
      <c r="I224" t="n">
        <v>1</v>
      </c>
      <c r="J224" t="n">
        <v>1</v>
      </c>
      <c r="K224" t="n">
        <v>1</v>
      </c>
      <c r="M224" t="inlineStr">
        <is>
          <t>matches_completely</t>
        </is>
      </c>
      <c r="N224" t="n">
        <v>4</v>
      </c>
      <c r="Q224" t="inlineStr">
        <is>
          <t>correct</t>
        </is>
      </c>
      <c r="R224" t="inlineStr">
        <is>
          <t>correct</t>
        </is>
      </c>
      <c r="S224" t="inlineStr">
        <is>
          <t>matches_completely</t>
        </is>
      </c>
      <c r="T224" t="inlineStr">
        <is>
          <t>correct</t>
        </is>
      </c>
      <c r="U224">
        <f>IF(T224="correct",1,0)</f>
        <v/>
      </c>
      <c r="V224">
        <f>VLOOKUP(A224,Participants!$A$2:$B$86,2,FALSE)</f>
        <v/>
      </c>
    </row>
    <row r="225">
      <c r="A225" t="inlineStr">
        <is>
          <t>user_0048</t>
        </is>
      </c>
      <c r="B225" t="inlineStr">
        <is>
          <t>M1</t>
        </is>
      </c>
      <c r="C225" t="inlineStr">
        <is>
          <t>C2</t>
        </is>
      </c>
      <c r="D225" t="n">
        <v>1</v>
      </c>
      <c r="E225" t="inlineStr">
        <is>
          <t>2026-03-25T08:45:53.028060+00:00</t>
        </is>
      </c>
      <c r="F225" t="inlineStr">
        <is>
          <t>2026-03-25T08:45:53.049089+00:00</t>
        </is>
      </c>
      <c r="G225" t="n">
        <v>14</v>
      </c>
      <c r="H225" t="n">
        <v>28.97</v>
      </c>
      <c r="I225" t="n">
        <v>2</v>
      </c>
      <c r="J225" t="n">
        <v>1</v>
      </c>
      <c r="K225" t="n">
        <v>1</v>
      </c>
      <c r="M225" t="inlineStr">
        <is>
          <t>does_not_match</t>
        </is>
      </c>
      <c r="N225" t="n">
        <v>4</v>
      </c>
      <c r="Q225" t="inlineStr">
        <is>
          <t>incorrect</t>
        </is>
      </c>
      <c r="R225" t="inlineStr">
        <is>
          <t>incorrect</t>
        </is>
      </c>
      <c r="S225" t="inlineStr">
        <is>
          <t>does_not_match</t>
        </is>
      </c>
      <c r="T225" t="inlineStr">
        <is>
          <t>incorrect</t>
        </is>
      </c>
      <c r="U225">
        <f>IF(T225="correct",1,0)</f>
        <v/>
      </c>
      <c r="V225">
        <f>VLOOKUP(A225,Participants!$A$2:$B$86,2,FALSE)</f>
        <v/>
      </c>
    </row>
    <row r="226">
      <c r="A226" t="inlineStr">
        <is>
          <t>user_0048</t>
        </is>
      </c>
      <c r="B226" t="inlineStr">
        <is>
          <t>C1</t>
        </is>
      </c>
      <c r="C226" t="inlineStr">
        <is>
          <t>C3</t>
        </is>
      </c>
      <c r="D226" t="n">
        <v>2</v>
      </c>
      <c r="E226" t="inlineStr">
        <is>
          <t>2026-03-25T08:50:43.044574+00:00</t>
        </is>
      </c>
      <c r="F226" t="inlineStr">
        <is>
          <t>2026-03-25T08:50:43.062769+00:00</t>
        </is>
      </c>
      <c r="G226" t="n">
        <v>4</v>
      </c>
      <c r="H226" t="n">
        <v>90.69</v>
      </c>
      <c r="I226" t="n">
        <v>1</v>
      </c>
      <c r="J226" t="n">
        <v>1</v>
      </c>
      <c r="K226" t="n">
        <v>1</v>
      </c>
      <c r="M226" t="inlineStr">
        <is>
          <t>matches_completely</t>
        </is>
      </c>
      <c r="N226" t="n">
        <v>5</v>
      </c>
      <c r="Q226" t="inlineStr">
        <is>
          <t>correct</t>
        </is>
      </c>
      <c r="R226" t="inlineStr">
        <is>
          <t>correct</t>
        </is>
      </c>
      <c r="S226" t="inlineStr">
        <is>
          <t>partially</t>
        </is>
      </c>
      <c r="T226" t="inlineStr">
        <is>
          <t>correct</t>
        </is>
      </c>
      <c r="U226">
        <f>IF(T226="correct",1,0)</f>
        <v/>
      </c>
      <c r="V226">
        <f>VLOOKUP(A226,Participants!$A$2:$B$86,2,FALSE)</f>
        <v/>
      </c>
    </row>
    <row r="227">
      <c r="A227" t="inlineStr">
        <is>
          <t>user_0048</t>
        </is>
      </c>
      <c r="B227" t="inlineStr">
        <is>
          <t>S2</t>
        </is>
      </c>
      <c r="C227" t="inlineStr">
        <is>
          <t>C1</t>
        </is>
      </c>
      <c r="D227" t="n">
        <v>3</v>
      </c>
      <c r="E227" t="inlineStr">
        <is>
          <t>2026-03-25T08:52:41.554304+00:00</t>
        </is>
      </c>
      <c r="F227" t="inlineStr">
        <is>
          <t>2026-03-25T08:52:41.570141+00:00</t>
        </is>
      </c>
      <c r="G227" t="n">
        <v>4</v>
      </c>
      <c r="H227" t="n">
        <v>85.08</v>
      </c>
      <c r="I227" t="n">
        <v>1</v>
      </c>
      <c r="J227" t="n">
        <v>1</v>
      </c>
      <c r="K227" t="n">
        <v>1</v>
      </c>
      <c r="M227" t="inlineStr">
        <is>
          <t>matches_completely</t>
        </is>
      </c>
      <c r="N227" t="n">
        <v>5</v>
      </c>
      <c r="Q227" t="inlineStr">
        <is>
          <t>correct</t>
        </is>
      </c>
      <c r="R227" t="inlineStr">
        <is>
          <t>correct</t>
        </is>
      </c>
      <c r="S227" t="inlineStr">
        <is>
          <t>matches_completely</t>
        </is>
      </c>
      <c r="T227" t="inlineStr">
        <is>
          <t>correct</t>
        </is>
      </c>
      <c r="U227">
        <f>IF(T227="correct",1,0)</f>
        <v/>
      </c>
      <c r="V227">
        <f>VLOOKUP(A227,Participants!$A$2:$B$86,2,FALSE)</f>
        <v/>
      </c>
    </row>
    <row r="228">
      <c r="A228" t="inlineStr">
        <is>
          <t>user_0048</t>
        </is>
      </c>
      <c r="B228" t="inlineStr">
        <is>
          <t>M2</t>
        </is>
      </c>
      <c r="C228" t="inlineStr">
        <is>
          <t>C2</t>
        </is>
      </c>
      <c r="D228" t="n">
        <v>4</v>
      </c>
      <c r="E228" t="inlineStr">
        <is>
          <t>2026-03-25T08:53:25.826889+00:00</t>
        </is>
      </c>
      <c r="F228" t="inlineStr">
        <is>
          <t>2026-03-25T08:53:25.842207+00:00</t>
        </is>
      </c>
      <c r="G228" t="n">
        <v>4</v>
      </c>
      <c r="H228" t="n">
        <v>76.25</v>
      </c>
      <c r="I228" t="n">
        <v>1</v>
      </c>
      <c r="J228" t="n">
        <v>1</v>
      </c>
      <c r="K228" t="n">
        <v>1</v>
      </c>
      <c r="M228" t="inlineStr">
        <is>
          <t>matches_completely</t>
        </is>
      </c>
      <c r="N228" t="n">
        <v>5</v>
      </c>
      <c r="Q228" t="inlineStr">
        <is>
          <t>correct</t>
        </is>
      </c>
      <c r="R228" t="inlineStr">
        <is>
          <t>correct</t>
        </is>
      </c>
      <c r="S228" t="inlineStr">
        <is>
          <t>partially</t>
        </is>
      </c>
      <c r="T228" t="inlineStr">
        <is>
          <t>correct</t>
        </is>
      </c>
      <c r="U228">
        <f>IF(T228="correct",1,0)</f>
        <v/>
      </c>
      <c r="V228">
        <f>VLOOKUP(A228,Participants!$A$2:$B$86,2,FALSE)</f>
        <v/>
      </c>
    </row>
    <row r="229">
      <c r="A229" t="inlineStr">
        <is>
          <t>user_0048</t>
        </is>
      </c>
      <c r="B229" t="inlineStr">
        <is>
          <t>C2</t>
        </is>
      </c>
      <c r="C229" t="inlineStr">
        <is>
          <t>C3</t>
        </is>
      </c>
      <c r="D229" t="n">
        <v>5</v>
      </c>
      <c r="E229" t="inlineStr">
        <is>
          <t>2026-03-25T08:54:08.870044+00:00</t>
        </is>
      </c>
      <c r="F229" t="inlineStr">
        <is>
          <t>2026-03-25T08:54:08.886192+00:00</t>
        </is>
      </c>
      <c r="G229" t="n">
        <v>4</v>
      </c>
      <c r="H229" t="n">
        <v>60.78</v>
      </c>
      <c r="I229" t="n">
        <v>1</v>
      </c>
      <c r="J229" t="n">
        <v>1</v>
      </c>
      <c r="K229" t="n">
        <v>1</v>
      </c>
      <c r="M229" t="inlineStr">
        <is>
          <t>matches_completely</t>
        </is>
      </c>
      <c r="N229" t="n">
        <v>5</v>
      </c>
      <c r="Q229" t="inlineStr">
        <is>
          <t>correct</t>
        </is>
      </c>
      <c r="R229" t="inlineStr">
        <is>
          <t>correct</t>
        </is>
      </c>
      <c r="S229" t="inlineStr">
        <is>
          <t>matches_completely</t>
        </is>
      </c>
      <c r="T229" t="inlineStr">
        <is>
          <t>correct</t>
        </is>
      </c>
      <c r="U229">
        <f>IF(T229="correct",1,0)</f>
        <v/>
      </c>
      <c r="V229">
        <f>VLOOKUP(A229,Participants!$A$2:$B$86,2,FALSE)</f>
        <v/>
      </c>
    </row>
    <row r="230">
      <c r="A230" t="inlineStr">
        <is>
          <t>user_0049</t>
        </is>
      </c>
      <c r="B230" t="inlineStr">
        <is>
          <t>S1</t>
        </is>
      </c>
      <c r="C230" t="inlineStr">
        <is>
          <t>C1</t>
        </is>
      </c>
      <c r="D230" t="n">
        <v>0</v>
      </c>
      <c r="E230" t="inlineStr">
        <is>
          <t>2026-03-25T08:45:24.548660+00:00</t>
        </is>
      </c>
      <c r="F230" t="inlineStr">
        <is>
          <t>2026-03-25T08:45:24.566461+00:00</t>
        </is>
      </c>
      <c r="G230" t="n">
        <v>10</v>
      </c>
      <c r="H230" t="n">
        <v>175.31</v>
      </c>
      <c r="I230" t="n">
        <v>3</v>
      </c>
      <c r="J230" t="n">
        <v>1</v>
      </c>
      <c r="K230" t="n">
        <v>1</v>
      </c>
      <c r="M230" t="inlineStr">
        <is>
          <t>partially</t>
        </is>
      </c>
      <c r="N230" t="n">
        <v>3</v>
      </c>
      <c r="Q230" t="inlineStr">
        <is>
          <t>correct</t>
        </is>
      </c>
      <c r="R230" t="inlineStr">
        <is>
          <t>correct</t>
        </is>
      </c>
      <c r="S230" t="inlineStr">
        <is>
          <t>matches_completely</t>
        </is>
      </c>
      <c r="T230" t="inlineStr">
        <is>
          <t>correct</t>
        </is>
      </c>
      <c r="U230">
        <f>IF(T230="correct",1,0)</f>
        <v/>
      </c>
      <c r="V230">
        <f>VLOOKUP(A230,Participants!$A$2:$B$86,2,FALSE)</f>
        <v/>
      </c>
    </row>
    <row r="231">
      <c r="A231" t="inlineStr">
        <is>
          <t>user_0049</t>
        </is>
      </c>
      <c r="B231" t="inlineStr">
        <is>
          <t>M1</t>
        </is>
      </c>
      <c r="C231" t="inlineStr">
        <is>
          <t>C2</t>
        </is>
      </c>
      <c r="D231" t="n">
        <v>1</v>
      </c>
      <c r="E231" t="inlineStr">
        <is>
          <t>2026-03-25T08:49:58.498880+00:00</t>
        </is>
      </c>
      <c r="F231" t="inlineStr">
        <is>
          <t>2026-03-25T08:49:58.516786+00:00</t>
        </is>
      </c>
      <c r="G231" t="n">
        <v>4</v>
      </c>
      <c r="H231" t="n">
        <v>75.97</v>
      </c>
      <c r="I231" t="n">
        <v>1</v>
      </c>
      <c r="J231" t="n">
        <v>1</v>
      </c>
      <c r="K231" t="n">
        <v>1</v>
      </c>
      <c r="M231" t="inlineStr">
        <is>
          <t>matches_completely</t>
        </is>
      </c>
      <c r="N231" t="n">
        <v>4</v>
      </c>
      <c r="Q231" t="inlineStr">
        <is>
          <t>correct</t>
        </is>
      </c>
      <c r="R231" t="inlineStr">
        <is>
          <t>correct</t>
        </is>
      </c>
      <c r="S231" t="inlineStr">
        <is>
          <t>matches_completely</t>
        </is>
      </c>
      <c r="T231" t="inlineStr">
        <is>
          <t>correct</t>
        </is>
      </c>
      <c r="U231">
        <f>IF(T231="correct",1,0)</f>
        <v/>
      </c>
      <c r="V231">
        <f>VLOOKUP(A231,Participants!$A$2:$B$86,2,FALSE)</f>
        <v/>
      </c>
    </row>
    <row r="232">
      <c r="A232" t="inlineStr">
        <is>
          <t>user_0049</t>
        </is>
      </c>
      <c r="B232" t="inlineStr">
        <is>
          <t>C1</t>
        </is>
      </c>
      <c r="C232" t="inlineStr">
        <is>
          <t>C3</t>
        </is>
      </c>
      <c r="D232" t="n">
        <v>2</v>
      </c>
      <c r="E232" t="inlineStr">
        <is>
          <t>2026-03-25T08:52:46.526075+00:00</t>
        </is>
      </c>
      <c r="F232" t="inlineStr">
        <is>
          <t>2026-03-25T08:52:46.542348+00:00</t>
        </is>
      </c>
      <c r="G232" t="n">
        <v>4</v>
      </c>
      <c r="H232" t="n">
        <v>59.12</v>
      </c>
      <c r="I232" t="n">
        <v>1</v>
      </c>
      <c r="J232" t="n">
        <v>1</v>
      </c>
      <c r="K232" t="n">
        <v>1</v>
      </c>
      <c r="M232" t="inlineStr">
        <is>
          <t>matches_completely</t>
        </is>
      </c>
      <c r="N232" t="n">
        <v>4</v>
      </c>
      <c r="Q232" t="inlineStr">
        <is>
          <t>correct</t>
        </is>
      </c>
      <c r="R232" t="inlineStr">
        <is>
          <t>correct</t>
        </is>
      </c>
      <c r="S232" t="inlineStr">
        <is>
          <t>partially</t>
        </is>
      </c>
      <c r="T232" t="inlineStr">
        <is>
          <t>correct</t>
        </is>
      </c>
      <c r="U232">
        <f>IF(T232="correct",1,0)</f>
        <v/>
      </c>
      <c r="V232">
        <f>VLOOKUP(A232,Participants!$A$2:$B$86,2,FALSE)</f>
        <v/>
      </c>
    </row>
    <row r="233">
      <c r="A233" t="inlineStr">
        <is>
          <t>user_0049</t>
        </is>
      </c>
      <c r="B233" t="inlineStr">
        <is>
          <t>S2</t>
        </is>
      </c>
      <c r="C233" t="inlineStr">
        <is>
          <t>C1</t>
        </is>
      </c>
      <c r="D233" t="n">
        <v>3</v>
      </c>
      <c r="E233" t="inlineStr">
        <is>
          <t>2026-03-25T08:53:24.812103+00:00</t>
        </is>
      </c>
      <c r="F233" t="inlineStr">
        <is>
          <t>2026-03-25T08:53:24.829528+00:00</t>
        </is>
      </c>
      <c r="G233" t="n">
        <v>4</v>
      </c>
      <c r="H233" t="n">
        <v>53.22</v>
      </c>
      <c r="I233" t="n">
        <v>1</v>
      </c>
      <c r="J233" t="n">
        <v>1</v>
      </c>
      <c r="K233" t="n">
        <v>1</v>
      </c>
      <c r="M233" t="inlineStr">
        <is>
          <t>matches_completely</t>
        </is>
      </c>
      <c r="N233" t="n">
        <v>5</v>
      </c>
      <c r="Q233" t="inlineStr">
        <is>
          <t>correct</t>
        </is>
      </c>
      <c r="R233" t="inlineStr">
        <is>
          <t>correct</t>
        </is>
      </c>
      <c r="S233" t="inlineStr">
        <is>
          <t>matches_completely</t>
        </is>
      </c>
      <c r="T233" t="inlineStr">
        <is>
          <t>correct</t>
        </is>
      </c>
      <c r="U233">
        <f>IF(T233="correct",1,0)</f>
        <v/>
      </c>
      <c r="V233">
        <f>VLOOKUP(A233,Participants!$A$2:$B$86,2,FALSE)</f>
        <v/>
      </c>
    </row>
    <row r="234">
      <c r="A234" t="inlineStr">
        <is>
          <t>user_0049</t>
        </is>
      </c>
      <c r="B234" t="inlineStr">
        <is>
          <t>M2</t>
        </is>
      </c>
      <c r="C234" t="inlineStr">
        <is>
          <t>C2</t>
        </is>
      </c>
      <c r="D234" t="n">
        <v>4</v>
      </c>
      <c r="E234" t="inlineStr">
        <is>
          <t>2026-03-25T08:54:20.979592+00:00</t>
        </is>
      </c>
      <c r="F234" t="inlineStr">
        <is>
          <t>2026-03-25T08:54:20.996603+00:00</t>
        </is>
      </c>
      <c r="G234" t="n">
        <v>4</v>
      </c>
      <c r="H234" t="n">
        <v>75.95</v>
      </c>
      <c r="I234" t="n">
        <v>1</v>
      </c>
      <c r="J234" t="n">
        <v>1</v>
      </c>
      <c r="K234" t="n">
        <v>1</v>
      </c>
      <c r="M234" t="inlineStr">
        <is>
          <t>matches_completely</t>
        </is>
      </c>
      <c r="N234" t="n">
        <v>4</v>
      </c>
      <c r="Q234" t="inlineStr">
        <is>
          <t>correct</t>
        </is>
      </c>
      <c r="R234" t="inlineStr">
        <is>
          <t>correct</t>
        </is>
      </c>
      <c r="S234" t="inlineStr">
        <is>
          <t>partially</t>
        </is>
      </c>
      <c r="T234" t="inlineStr">
        <is>
          <t>correct</t>
        </is>
      </c>
      <c r="U234">
        <f>IF(T234="correct",1,0)</f>
        <v/>
      </c>
      <c r="V234">
        <f>VLOOKUP(A234,Participants!$A$2:$B$86,2,FALSE)</f>
        <v/>
      </c>
    </row>
    <row r="235">
      <c r="A235" t="inlineStr">
        <is>
          <t>user_0049</t>
        </is>
      </c>
      <c r="B235" t="inlineStr">
        <is>
          <t>C2</t>
        </is>
      </c>
      <c r="C235" t="inlineStr">
        <is>
          <t>C3</t>
        </is>
      </c>
      <c r="D235" t="n">
        <v>5</v>
      </c>
      <c r="E235" t="inlineStr">
        <is>
          <t>2026-03-25T08:54:53.180472+00:00</t>
        </is>
      </c>
      <c r="F235" t="inlineStr">
        <is>
          <t>2026-03-25T08:54:53.199756+00:00</t>
        </is>
      </c>
      <c r="G235" t="n">
        <v>4</v>
      </c>
      <c r="H235" t="n">
        <v>56.38</v>
      </c>
      <c r="I235" t="n">
        <v>1</v>
      </c>
      <c r="J235" t="n">
        <v>1</v>
      </c>
      <c r="K235" t="n">
        <v>1</v>
      </c>
      <c r="M235" t="inlineStr">
        <is>
          <t>matches_completely</t>
        </is>
      </c>
      <c r="N235" t="n">
        <v>4</v>
      </c>
      <c r="Q235" t="inlineStr">
        <is>
          <t>correct</t>
        </is>
      </c>
      <c r="R235" t="inlineStr">
        <is>
          <t>correct</t>
        </is>
      </c>
      <c r="S235" t="inlineStr">
        <is>
          <t>matches_completely</t>
        </is>
      </c>
      <c r="T235" t="inlineStr">
        <is>
          <t>correct</t>
        </is>
      </c>
      <c r="U235">
        <f>IF(T235="correct",1,0)</f>
        <v/>
      </c>
      <c r="V235">
        <f>VLOOKUP(A235,Participants!$A$2:$B$86,2,FALSE)</f>
        <v/>
      </c>
    </row>
    <row r="236">
      <c r="A236" t="inlineStr">
        <is>
          <t>user_0050</t>
        </is>
      </c>
      <c r="B236" t="inlineStr">
        <is>
          <t>S1</t>
        </is>
      </c>
      <c r="C236" t="inlineStr">
        <is>
          <t>C1</t>
        </is>
      </c>
      <c r="D236" t="n">
        <v>0</v>
      </c>
      <c r="E236" t="inlineStr">
        <is>
          <t>2026-03-25T08:45:15.895352+00:00</t>
        </is>
      </c>
      <c r="F236" t="inlineStr">
        <is>
          <t>2026-03-25T08:45:15.913016+00:00</t>
        </is>
      </c>
      <c r="G236" t="n">
        <v>4</v>
      </c>
      <c r="H236" t="n">
        <v>175.56</v>
      </c>
      <c r="I236" t="n">
        <v>1</v>
      </c>
      <c r="J236" t="n">
        <v>1</v>
      </c>
      <c r="K236" t="n">
        <v>1</v>
      </c>
      <c r="M236" t="inlineStr">
        <is>
          <t>matches_completely</t>
        </is>
      </c>
      <c r="N236" t="n">
        <v>4</v>
      </c>
      <c r="Q236" t="inlineStr">
        <is>
          <t>correct</t>
        </is>
      </c>
      <c r="R236" t="inlineStr">
        <is>
          <t>correct</t>
        </is>
      </c>
      <c r="S236" t="inlineStr">
        <is>
          <t>matches_completely</t>
        </is>
      </c>
      <c r="T236" t="inlineStr">
        <is>
          <t>correct</t>
        </is>
      </c>
      <c r="U236">
        <f>IF(T236="correct",1,0)</f>
        <v/>
      </c>
      <c r="V236">
        <f>VLOOKUP(A236,Participants!$A$2:$B$86,2,FALSE)</f>
        <v/>
      </c>
    </row>
    <row r="237">
      <c r="A237" t="inlineStr">
        <is>
          <t>user_0050</t>
        </is>
      </c>
      <c r="B237" t="inlineStr">
        <is>
          <t>M1</t>
        </is>
      </c>
      <c r="C237" t="inlineStr">
        <is>
          <t>C2</t>
        </is>
      </c>
      <c r="D237" t="n">
        <v>1</v>
      </c>
      <c r="E237" t="inlineStr">
        <is>
          <t>2026-03-25T08:57:13.289203+00:00</t>
        </is>
      </c>
      <c r="F237" t="inlineStr">
        <is>
          <t>2026-03-25T08:57:13.311749+00:00</t>
        </is>
      </c>
      <c r="G237" t="n">
        <v>9</v>
      </c>
      <c r="H237" t="n">
        <v>454.62</v>
      </c>
      <c r="I237" t="n">
        <v>2</v>
      </c>
      <c r="J237" t="n">
        <v>1</v>
      </c>
      <c r="K237" t="n">
        <v>1</v>
      </c>
      <c r="M237" t="inlineStr">
        <is>
          <t>partially</t>
        </is>
      </c>
      <c r="N237" t="n">
        <v>5</v>
      </c>
      <c r="Q237" t="inlineStr">
        <is>
          <t>correct</t>
        </is>
      </c>
      <c r="R237" t="inlineStr">
        <is>
          <t>correct</t>
        </is>
      </c>
      <c r="S237" t="inlineStr">
        <is>
          <t>matches_completely</t>
        </is>
      </c>
      <c r="T237" t="inlineStr">
        <is>
          <t>correct</t>
        </is>
      </c>
      <c r="U237">
        <f>IF(T237="correct",1,0)</f>
        <v/>
      </c>
      <c r="V237">
        <f>VLOOKUP(A237,Participants!$A$2:$B$86,2,FALSE)</f>
        <v/>
      </c>
    </row>
    <row r="238">
      <c r="A238" t="inlineStr">
        <is>
          <t>user_0050</t>
        </is>
      </c>
      <c r="B238" t="inlineStr">
        <is>
          <t>C1</t>
        </is>
      </c>
      <c r="C238" t="inlineStr">
        <is>
          <t>C3</t>
        </is>
      </c>
      <c r="D238" t="n">
        <v>2</v>
      </c>
      <c r="E238" t="inlineStr">
        <is>
          <t>2026-03-25T08:58:02.533562+00:00</t>
        </is>
      </c>
      <c r="F238" t="inlineStr">
        <is>
          <t>2026-03-25T08:58:02.550073+00:00</t>
        </is>
      </c>
      <c r="G238" t="n">
        <v>4</v>
      </c>
      <c r="H238" t="n">
        <v>41.52</v>
      </c>
      <c r="I238" t="n">
        <v>1</v>
      </c>
      <c r="J238" t="n">
        <v>1</v>
      </c>
      <c r="K238" t="n">
        <v>1</v>
      </c>
      <c r="M238" t="inlineStr">
        <is>
          <t>matches_completely</t>
        </is>
      </c>
      <c r="N238" t="n">
        <v>4</v>
      </c>
      <c r="Q238" t="inlineStr">
        <is>
          <t>correct</t>
        </is>
      </c>
      <c r="R238" t="inlineStr">
        <is>
          <t>correct</t>
        </is>
      </c>
      <c r="S238" t="inlineStr">
        <is>
          <t>matches_completely</t>
        </is>
      </c>
      <c r="T238" t="inlineStr">
        <is>
          <t>correct</t>
        </is>
      </c>
      <c r="U238">
        <f>IF(T238="correct",1,0)</f>
        <v/>
      </c>
      <c r="V238">
        <f>VLOOKUP(A238,Participants!$A$2:$B$86,2,FALSE)</f>
        <v/>
      </c>
    </row>
    <row r="239">
      <c r="A239" t="inlineStr">
        <is>
          <t>user_0050</t>
        </is>
      </c>
      <c r="B239" t="inlineStr">
        <is>
          <t>S2</t>
        </is>
      </c>
      <c r="C239" t="inlineStr">
        <is>
          <t>C1</t>
        </is>
      </c>
      <c r="D239" t="n">
        <v>3</v>
      </c>
      <c r="E239" t="inlineStr">
        <is>
          <t>2026-03-25T09:00:18.861057+00:00</t>
        </is>
      </c>
      <c r="F239" t="inlineStr">
        <is>
          <t>2026-03-25T09:00:18.882155+00:00</t>
        </is>
      </c>
      <c r="G239" t="n">
        <v>7</v>
      </c>
      <c r="H239" t="n">
        <v>70.03</v>
      </c>
      <c r="I239" t="n">
        <v>2</v>
      </c>
      <c r="J239" t="n">
        <v>1</v>
      </c>
      <c r="K239" t="n">
        <v>1</v>
      </c>
      <c r="M239" t="inlineStr">
        <is>
          <t>partially</t>
        </is>
      </c>
      <c r="N239" t="n">
        <v>3</v>
      </c>
      <c r="Q239" t="inlineStr">
        <is>
          <t>correct</t>
        </is>
      </c>
      <c r="R239" t="inlineStr">
        <is>
          <t>correct</t>
        </is>
      </c>
      <c r="S239" t="inlineStr">
        <is>
          <t>matches_completely</t>
        </is>
      </c>
      <c r="T239" t="inlineStr">
        <is>
          <t>correct</t>
        </is>
      </c>
      <c r="U239">
        <f>IF(T239="correct",1,0)</f>
        <v/>
      </c>
      <c r="V239">
        <f>VLOOKUP(A239,Participants!$A$2:$B$86,2,FALSE)</f>
        <v/>
      </c>
    </row>
    <row r="240">
      <c r="A240" t="inlineStr">
        <is>
          <t>user_0050</t>
        </is>
      </c>
      <c r="B240" t="inlineStr">
        <is>
          <t>M2</t>
        </is>
      </c>
      <c r="C240" t="inlineStr">
        <is>
          <t>C2</t>
        </is>
      </c>
      <c r="D240" t="n">
        <v>4</v>
      </c>
      <c r="E240" t="inlineStr">
        <is>
          <t>2026-03-25T09:00:58.035650+00:00</t>
        </is>
      </c>
      <c r="F240" t="inlineStr">
        <is>
          <t>2026-03-25T09:00:58.056315+00:00</t>
        </is>
      </c>
      <c r="G240" t="n">
        <v>4</v>
      </c>
      <c r="H240" t="n">
        <v>65.52</v>
      </c>
      <c r="I240" t="n">
        <v>1</v>
      </c>
      <c r="J240" t="n">
        <v>1</v>
      </c>
      <c r="K240" t="n">
        <v>1</v>
      </c>
      <c r="M240" t="inlineStr">
        <is>
          <t>matches_completely</t>
        </is>
      </c>
      <c r="N240" t="n">
        <v>3</v>
      </c>
      <c r="Q240" t="inlineStr">
        <is>
          <t>correct</t>
        </is>
      </c>
      <c r="R240" t="inlineStr">
        <is>
          <t>correct</t>
        </is>
      </c>
      <c r="S240" t="inlineStr">
        <is>
          <t>partially</t>
        </is>
      </c>
      <c r="T240" t="inlineStr">
        <is>
          <t>correct</t>
        </is>
      </c>
      <c r="U240">
        <f>IF(T240="correct",1,0)</f>
        <v/>
      </c>
      <c r="V240">
        <f>VLOOKUP(A240,Participants!$A$2:$B$86,2,FALSE)</f>
        <v/>
      </c>
    </row>
    <row r="241">
      <c r="A241" t="inlineStr">
        <is>
          <t>user_0050</t>
        </is>
      </c>
      <c r="B241" t="inlineStr">
        <is>
          <t>C2</t>
        </is>
      </c>
      <c r="C241" t="inlineStr">
        <is>
          <t>C3</t>
        </is>
      </c>
      <c r="D241" t="n">
        <v>5</v>
      </c>
      <c r="E241" t="inlineStr">
        <is>
          <t>2026-03-25T09:01:41.308919+00:00</t>
        </is>
      </c>
      <c r="F241" t="inlineStr">
        <is>
          <t>2026-03-25T09:01:41.326304+00:00</t>
        </is>
      </c>
      <c r="G241" t="n">
        <v>4</v>
      </c>
      <c r="H241" t="n">
        <v>67.95</v>
      </c>
      <c r="I241" t="n">
        <v>1</v>
      </c>
      <c r="J241" t="n">
        <v>1</v>
      </c>
      <c r="K241" t="n">
        <v>1</v>
      </c>
      <c r="M241" t="inlineStr">
        <is>
          <t>matches_completely</t>
        </is>
      </c>
      <c r="N241" t="n">
        <v>3</v>
      </c>
      <c r="Q241" t="inlineStr">
        <is>
          <t>correct</t>
        </is>
      </c>
      <c r="R241" t="inlineStr">
        <is>
          <t>correct</t>
        </is>
      </c>
      <c r="S241" t="inlineStr">
        <is>
          <t>matches_completely</t>
        </is>
      </c>
      <c r="T241" t="inlineStr">
        <is>
          <t>correct</t>
        </is>
      </c>
      <c r="U241">
        <f>IF(T241="correct",1,0)</f>
        <v/>
      </c>
      <c r="V241">
        <f>VLOOKUP(A241,Participants!$A$2:$B$86,2,FALSE)</f>
        <v/>
      </c>
    </row>
    <row r="242">
      <c r="A242" t="inlineStr">
        <is>
          <t>user_0051</t>
        </is>
      </c>
      <c r="B242" t="inlineStr">
        <is>
          <t>S1</t>
        </is>
      </c>
      <c r="C242" t="inlineStr">
        <is>
          <t>C1</t>
        </is>
      </c>
      <c r="D242" t="n">
        <v>0</v>
      </c>
      <c r="E242" t="inlineStr">
        <is>
          <t>2026-03-25T10:29:32.023375+00:00</t>
        </is>
      </c>
      <c r="F242" t="inlineStr">
        <is>
          <t>2026-03-25T10:29:32.042899+00:00</t>
        </is>
      </c>
      <c r="G242" t="n">
        <v>4</v>
      </c>
      <c r="H242" t="n">
        <v>20</v>
      </c>
      <c r="I242" t="n">
        <v>1</v>
      </c>
      <c r="J242" t="n">
        <v>1</v>
      </c>
      <c r="K242" t="n">
        <v>1</v>
      </c>
      <c r="M242" t="inlineStr">
        <is>
          <t>partially</t>
        </is>
      </c>
      <c r="N242" t="n">
        <v>3</v>
      </c>
      <c r="Q242" t="inlineStr">
        <is>
          <t>correct</t>
        </is>
      </c>
      <c r="R242" t="inlineStr">
        <is>
          <t>correct</t>
        </is>
      </c>
      <c r="S242" t="inlineStr">
        <is>
          <t>matches_completely</t>
        </is>
      </c>
      <c r="T242" t="inlineStr">
        <is>
          <t>correct</t>
        </is>
      </c>
      <c r="U242">
        <f>IF(T242="correct",1,0)</f>
        <v/>
      </c>
      <c r="V242">
        <f>VLOOKUP(A242,Participants!$A$2:$B$86,2,FALSE)</f>
        <v/>
      </c>
    </row>
    <row r="243">
      <c r="A243" t="inlineStr">
        <is>
          <t>user_0051</t>
        </is>
      </c>
      <c r="B243" t="inlineStr">
        <is>
          <t>M1</t>
        </is>
      </c>
      <c r="C243" t="inlineStr">
        <is>
          <t>C2</t>
        </is>
      </c>
      <c r="D243" t="n">
        <v>1</v>
      </c>
      <c r="E243" t="inlineStr">
        <is>
          <t>2026-03-25T10:34:52.530934+00:00</t>
        </is>
      </c>
      <c r="F243" t="inlineStr">
        <is>
          <t>2026-03-25T10:34:52.548615+00:00</t>
        </is>
      </c>
      <c r="G243" t="n">
        <v>4</v>
      </c>
      <c r="H243" t="n">
        <v>20</v>
      </c>
      <c r="I243" t="n">
        <v>1</v>
      </c>
      <c r="J243" t="n">
        <v>1</v>
      </c>
      <c r="K243" t="n">
        <v>1</v>
      </c>
      <c r="M243" t="inlineStr">
        <is>
          <t>matches_completely</t>
        </is>
      </c>
      <c r="N243" t="n">
        <v>4</v>
      </c>
      <c r="Q243" t="inlineStr">
        <is>
          <t>correct</t>
        </is>
      </c>
      <c r="R243" t="inlineStr">
        <is>
          <t>correct</t>
        </is>
      </c>
      <c r="S243" t="inlineStr">
        <is>
          <t>matches_completely</t>
        </is>
      </c>
      <c r="T243" t="inlineStr">
        <is>
          <t>correct</t>
        </is>
      </c>
      <c r="U243">
        <f>IF(T243="correct",1,0)</f>
        <v/>
      </c>
      <c r="V243">
        <f>VLOOKUP(A243,Participants!$A$2:$B$86,2,FALSE)</f>
        <v/>
      </c>
    </row>
    <row r="244">
      <c r="A244" t="inlineStr">
        <is>
          <t>user_0051</t>
        </is>
      </c>
      <c r="B244" t="inlineStr">
        <is>
          <t>C1</t>
        </is>
      </c>
      <c r="C244" t="inlineStr">
        <is>
          <t>C3</t>
        </is>
      </c>
      <c r="D244" t="n">
        <v>2</v>
      </c>
      <c r="E244" t="inlineStr">
        <is>
          <t>2026-03-25T10:37:26.046705+00:00</t>
        </is>
      </c>
      <c r="F244" t="inlineStr">
        <is>
          <t>2026-03-25T10:37:26.066209+00:00</t>
        </is>
      </c>
      <c r="G244" t="n">
        <v>4</v>
      </c>
      <c r="H244" t="n">
        <v>52.19</v>
      </c>
      <c r="I244" t="n">
        <v>1</v>
      </c>
      <c r="J244" t="n">
        <v>1</v>
      </c>
      <c r="K244" t="n">
        <v>1</v>
      </c>
      <c r="M244" t="inlineStr">
        <is>
          <t>matches_completely</t>
        </is>
      </c>
      <c r="N244" t="n">
        <v>5</v>
      </c>
      <c r="Q244" t="inlineStr">
        <is>
          <t>correct</t>
        </is>
      </c>
      <c r="R244" t="inlineStr">
        <is>
          <t>correct</t>
        </is>
      </c>
      <c r="S244" t="inlineStr">
        <is>
          <t>matches_completely</t>
        </is>
      </c>
      <c r="T244" t="inlineStr">
        <is>
          <t>correct</t>
        </is>
      </c>
      <c r="U244">
        <f>IF(T244="correct",1,0)</f>
        <v/>
      </c>
      <c r="V244">
        <f>VLOOKUP(A244,Participants!$A$2:$B$86,2,FALSE)</f>
        <v/>
      </c>
    </row>
    <row r="245">
      <c r="A245" t="inlineStr">
        <is>
          <t>user_0051</t>
        </is>
      </c>
      <c r="B245" t="inlineStr">
        <is>
          <t>S2</t>
        </is>
      </c>
      <c r="C245" t="inlineStr">
        <is>
          <t>C1</t>
        </is>
      </c>
      <c r="D245" t="n">
        <v>3</v>
      </c>
      <c r="E245" t="inlineStr">
        <is>
          <t>2026-03-25T10:40:48.157513+00:00</t>
        </is>
      </c>
      <c r="F245" t="inlineStr">
        <is>
          <t>2026-03-25T10:40:48.173615+00:00</t>
        </is>
      </c>
      <c r="G245" t="n">
        <v>4</v>
      </c>
      <c r="H245" t="n">
        <v>57.48</v>
      </c>
      <c r="I245" t="n">
        <v>1</v>
      </c>
      <c r="J245" t="n">
        <v>1</v>
      </c>
      <c r="K245" t="n">
        <v>1</v>
      </c>
      <c r="M245" t="inlineStr">
        <is>
          <t>partially</t>
        </is>
      </c>
      <c r="N245" t="n">
        <v>4</v>
      </c>
      <c r="Q245" t="inlineStr">
        <is>
          <t>correct</t>
        </is>
      </c>
      <c r="R245" t="inlineStr">
        <is>
          <t>correct</t>
        </is>
      </c>
      <c r="S245" t="inlineStr">
        <is>
          <t>matches_completely</t>
        </is>
      </c>
      <c r="T245" t="inlineStr">
        <is>
          <t>correct</t>
        </is>
      </c>
      <c r="U245">
        <f>IF(T245="correct",1,0)</f>
        <v/>
      </c>
      <c r="V245">
        <f>VLOOKUP(A245,Participants!$A$2:$B$86,2,FALSE)</f>
        <v/>
      </c>
    </row>
    <row r="246">
      <c r="A246" t="inlineStr">
        <is>
          <t>user_0051</t>
        </is>
      </c>
      <c r="B246" t="inlineStr">
        <is>
          <t>M2</t>
        </is>
      </c>
      <c r="C246" t="inlineStr">
        <is>
          <t>C2</t>
        </is>
      </c>
      <c r="D246" t="n">
        <v>4</v>
      </c>
      <c r="E246" t="inlineStr">
        <is>
          <t>2026-03-25T10:41:31.329543+00:00</t>
        </is>
      </c>
      <c r="F246" t="inlineStr">
        <is>
          <t>2026-03-25T10:41:31.348074+00:00</t>
        </is>
      </c>
      <c r="G246" t="n">
        <v>4</v>
      </c>
      <c r="H246" t="n">
        <v>63.67</v>
      </c>
      <c r="I246" t="n">
        <v>1</v>
      </c>
      <c r="J246" t="n">
        <v>1</v>
      </c>
      <c r="K246" t="n">
        <v>1</v>
      </c>
      <c r="M246" t="inlineStr">
        <is>
          <t>matches_completely</t>
        </is>
      </c>
      <c r="N246" t="n">
        <v>5</v>
      </c>
      <c r="Q246" t="inlineStr">
        <is>
          <t>correct</t>
        </is>
      </c>
      <c r="R246" t="inlineStr">
        <is>
          <t>correct</t>
        </is>
      </c>
      <c r="S246" t="inlineStr">
        <is>
          <t>partially</t>
        </is>
      </c>
      <c r="T246" t="inlineStr">
        <is>
          <t>correct</t>
        </is>
      </c>
      <c r="U246">
        <f>IF(T246="correct",1,0)</f>
        <v/>
      </c>
      <c r="V246">
        <f>VLOOKUP(A246,Participants!$A$2:$B$86,2,FALSE)</f>
        <v/>
      </c>
    </row>
    <row r="247">
      <c r="A247" t="inlineStr">
        <is>
          <t>user_0051</t>
        </is>
      </c>
      <c r="B247" t="inlineStr">
        <is>
          <t>C2</t>
        </is>
      </c>
      <c r="C247" t="inlineStr">
        <is>
          <t>C3</t>
        </is>
      </c>
      <c r="D247" t="n">
        <v>5</v>
      </c>
      <c r="E247" t="inlineStr">
        <is>
          <t>2026-03-25T10:43:51.523475+00:00</t>
        </is>
      </c>
      <c r="F247" t="inlineStr">
        <is>
          <t>2026-03-25T10:43:51.541171+00:00</t>
        </is>
      </c>
      <c r="G247" t="n">
        <v>4</v>
      </c>
      <c r="H247" t="n">
        <v>132.89</v>
      </c>
      <c r="I247" t="n">
        <v>1</v>
      </c>
      <c r="J247" t="n">
        <v>1</v>
      </c>
      <c r="K247" t="n">
        <v>1</v>
      </c>
      <c r="M247" t="inlineStr">
        <is>
          <t>matches_completely</t>
        </is>
      </c>
      <c r="N247" t="n">
        <v>5</v>
      </c>
      <c r="Q247" t="inlineStr">
        <is>
          <t>correct</t>
        </is>
      </c>
      <c r="R247" t="inlineStr">
        <is>
          <t>correct</t>
        </is>
      </c>
      <c r="S247" t="inlineStr">
        <is>
          <t>matches_completely</t>
        </is>
      </c>
      <c r="T247" t="inlineStr">
        <is>
          <t>correct</t>
        </is>
      </c>
      <c r="U247">
        <f>IF(T247="correct",1,0)</f>
        <v/>
      </c>
      <c r="V247">
        <f>VLOOKUP(A247,Participants!$A$2:$B$86,2,FALSE)</f>
        <v/>
      </c>
    </row>
    <row r="248">
      <c r="A248" t="inlineStr">
        <is>
          <t>user_0055</t>
        </is>
      </c>
      <c r="B248" t="inlineStr">
        <is>
          <t>S1</t>
        </is>
      </c>
      <c r="C248" t="inlineStr">
        <is>
          <t>C1</t>
        </is>
      </c>
      <c r="D248" t="n">
        <v>0</v>
      </c>
      <c r="E248" t="inlineStr">
        <is>
          <t>2026-03-25T10:31:33.316323+00:00</t>
        </is>
      </c>
      <c r="F248" t="inlineStr">
        <is>
          <t>2026-03-25T10:31:33.334392+00:00</t>
        </is>
      </c>
      <c r="G248" t="n">
        <v>4</v>
      </c>
      <c r="H248" t="n">
        <v>294.06</v>
      </c>
      <c r="I248" t="n">
        <v>1</v>
      </c>
      <c r="J248" t="n">
        <v>1</v>
      </c>
      <c r="K248" t="n">
        <v>1</v>
      </c>
      <c r="M248" t="inlineStr">
        <is>
          <t>matches_completely</t>
        </is>
      </c>
      <c r="N248" t="n">
        <v>5</v>
      </c>
      <c r="Q248" t="inlineStr">
        <is>
          <t>correct</t>
        </is>
      </c>
      <c r="R248" t="inlineStr">
        <is>
          <t>correct</t>
        </is>
      </c>
      <c r="T248" t="inlineStr">
        <is>
          <t>correct</t>
        </is>
      </c>
      <c r="U248">
        <f>IF(T248="correct",1,0)</f>
        <v/>
      </c>
      <c r="V248">
        <f>VLOOKUP(A248,Participants!$A$2:$B$86,2,FALSE)</f>
        <v/>
      </c>
    </row>
    <row r="249">
      <c r="A249" t="inlineStr">
        <is>
          <t>user_0055</t>
        </is>
      </c>
      <c r="B249" t="inlineStr">
        <is>
          <t>M1</t>
        </is>
      </c>
      <c r="C249" t="inlineStr">
        <is>
          <t>C2</t>
        </is>
      </c>
      <c r="D249" t="n">
        <v>1</v>
      </c>
      <c r="E249" t="inlineStr">
        <is>
          <t>2026-03-25T10:33:40.241051+00:00</t>
        </is>
      </c>
      <c r="F249" t="inlineStr">
        <is>
          <t>2026-03-25T10:33:40.255118+00:00</t>
        </is>
      </c>
      <c r="G249" t="n">
        <v>4</v>
      </c>
      <c r="H249" t="n">
        <v>20</v>
      </c>
      <c r="I249" t="n">
        <v>1</v>
      </c>
      <c r="J249" t="n">
        <v>1</v>
      </c>
      <c r="K249" t="n">
        <v>1</v>
      </c>
      <c r="M249" t="inlineStr">
        <is>
          <t>partially</t>
        </is>
      </c>
      <c r="N249" t="n">
        <v>4</v>
      </c>
      <c r="Q249" t="inlineStr">
        <is>
          <t>correct</t>
        </is>
      </c>
      <c r="R249" t="inlineStr">
        <is>
          <t>correct</t>
        </is>
      </c>
      <c r="T249" t="inlineStr">
        <is>
          <t>correct</t>
        </is>
      </c>
      <c r="U249">
        <f>IF(T249="correct",1,0)</f>
        <v/>
      </c>
      <c r="V249">
        <f>VLOOKUP(A249,Participants!$A$2:$B$86,2,FALSE)</f>
        <v/>
      </c>
    </row>
    <row r="250">
      <c r="A250" t="inlineStr">
        <is>
          <t>user_0055</t>
        </is>
      </c>
      <c r="B250" t="inlineStr">
        <is>
          <t>C1</t>
        </is>
      </c>
      <c r="C250" t="inlineStr">
        <is>
          <t>C3</t>
        </is>
      </c>
      <c r="D250" t="n">
        <v>2</v>
      </c>
      <c r="E250" t="inlineStr">
        <is>
          <t>2026-03-25T10:40:38.962767+00:00</t>
        </is>
      </c>
      <c r="F250" t="inlineStr">
        <is>
          <t>2026-03-25T10:40:38.983614+00:00</t>
        </is>
      </c>
      <c r="G250" t="n">
        <v>4</v>
      </c>
      <c r="H250" t="n">
        <v>105.56</v>
      </c>
      <c r="I250" t="n">
        <v>1</v>
      </c>
      <c r="J250" t="n">
        <v>1</v>
      </c>
      <c r="K250" t="n">
        <v>1</v>
      </c>
      <c r="M250" t="inlineStr">
        <is>
          <t>matches_completely</t>
        </is>
      </c>
      <c r="N250" t="n">
        <v>5</v>
      </c>
      <c r="Q250" t="inlineStr">
        <is>
          <t>correct</t>
        </is>
      </c>
      <c r="R250" t="inlineStr">
        <is>
          <t>correct</t>
        </is>
      </c>
      <c r="T250" t="inlineStr">
        <is>
          <t>correct</t>
        </is>
      </c>
      <c r="U250">
        <f>IF(T250="correct",1,0)</f>
        <v/>
      </c>
      <c r="V250">
        <f>VLOOKUP(A250,Participants!$A$2:$B$86,2,FALSE)</f>
        <v/>
      </c>
    </row>
    <row r="251">
      <c r="A251" t="inlineStr">
        <is>
          <t>user_0055</t>
        </is>
      </c>
      <c r="B251" t="inlineStr">
        <is>
          <t>S2</t>
        </is>
      </c>
      <c r="C251" t="inlineStr">
        <is>
          <t>C1</t>
        </is>
      </c>
      <c r="D251" t="n">
        <v>3</v>
      </c>
      <c r="E251" t="inlineStr">
        <is>
          <t>2026-03-25T10:49:16.936302+00:00</t>
        </is>
      </c>
      <c r="F251" t="inlineStr">
        <is>
          <t>2026-03-25T10:49:16.955929+00:00</t>
        </is>
      </c>
      <c r="G251" t="n">
        <v>5</v>
      </c>
      <c r="H251" t="n">
        <v>189.73</v>
      </c>
      <c r="I251" t="n">
        <v>1</v>
      </c>
      <c r="J251" t="n">
        <v>1</v>
      </c>
      <c r="K251" t="n">
        <v>1</v>
      </c>
      <c r="M251" t="inlineStr">
        <is>
          <t>matches_completely</t>
        </is>
      </c>
      <c r="N251" t="n">
        <v>3</v>
      </c>
      <c r="Q251" t="inlineStr">
        <is>
          <t>correct</t>
        </is>
      </c>
      <c r="R251" t="inlineStr">
        <is>
          <t>correct</t>
        </is>
      </c>
      <c r="T251" t="inlineStr">
        <is>
          <t>correct</t>
        </is>
      </c>
      <c r="U251">
        <f>IF(T251="correct",1,0)</f>
        <v/>
      </c>
      <c r="V251">
        <f>VLOOKUP(A251,Participants!$A$2:$B$86,2,FALSE)</f>
        <v/>
      </c>
    </row>
    <row r="252">
      <c r="A252" t="inlineStr">
        <is>
          <t>user_0055</t>
        </is>
      </c>
      <c r="B252" t="inlineStr">
        <is>
          <t>M2</t>
        </is>
      </c>
      <c r="C252" t="inlineStr">
        <is>
          <t>C2</t>
        </is>
      </c>
      <c r="D252" t="n">
        <v>4</v>
      </c>
      <c r="E252" t="inlineStr">
        <is>
          <t>2026-03-25T10:50:00.288128+00:00</t>
        </is>
      </c>
      <c r="F252" t="inlineStr">
        <is>
          <t>2026-03-25T10:50:00.304492+00:00</t>
        </is>
      </c>
      <c r="G252" t="n">
        <v>4</v>
      </c>
      <c r="H252" t="n">
        <v>63.34</v>
      </c>
      <c r="I252" t="n">
        <v>1</v>
      </c>
      <c r="J252" t="n">
        <v>1</v>
      </c>
      <c r="K252" t="n">
        <v>1</v>
      </c>
      <c r="M252" t="inlineStr">
        <is>
          <t>matches_completely</t>
        </is>
      </c>
      <c r="N252" t="n">
        <v>3</v>
      </c>
      <c r="Q252" t="inlineStr">
        <is>
          <t>correct</t>
        </is>
      </c>
      <c r="R252" t="inlineStr">
        <is>
          <t>correct</t>
        </is>
      </c>
      <c r="T252" t="inlineStr">
        <is>
          <t>correct</t>
        </is>
      </c>
      <c r="U252">
        <f>IF(T252="correct",1,0)</f>
        <v/>
      </c>
      <c r="V252">
        <f>VLOOKUP(A252,Participants!$A$2:$B$86,2,FALSE)</f>
        <v/>
      </c>
    </row>
    <row r="253">
      <c r="A253" t="inlineStr">
        <is>
          <t>user_0055</t>
        </is>
      </c>
      <c r="B253" t="inlineStr">
        <is>
          <t>C2</t>
        </is>
      </c>
      <c r="C253" t="inlineStr">
        <is>
          <t>C3</t>
        </is>
      </c>
      <c r="D253" t="n">
        <v>5</v>
      </c>
      <c r="E253" t="inlineStr">
        <is>
          <t>2026-03-25T10:50:46.231240+00:00</t>
        </is>
      </c>
      <c r="F253" t="inlineStr">
        <is>
          <t>2026-03-25T10:50:46.249322+00:00</t>
        </is>
      </c>
      <c r="G253" t="n">
        <v>4</v>
      </c>
      <c r="H253" t="n">
        <v>65.03</v>
      </c>
      <c r="I253" t="n">
        <v>1</v>
      </c>
      <c r="J253" t="n">
        <v>1</v>
      </c>
      <c r="K253" t="n">
        <v>1</v>
      </c>
      <c r="M253" t="inlineStr">
        <is>
          <t>matches_completely</t>
        </is>
      </c>
      <c r="N253" t="n">
        <v>3</v>
      </c>
      <c r="Q253" t="inlineStr">
        <is>
          <t>correct</t>
        </is>
      </c>
      <c r="R253" t="inlineStr">
        <is>
          <t>correct</t>
        </is>
      </c>
      <c r="T253" t="inlineStr">
        <is>
          <t>correct</t>
        </is>
      </c>
      <c r="U253">
        <f>IF(T253="correct",1,0)</f>
        <v/>
      </c>
      <c r="V253">
        <f>VLOOKUP(A253,Participants!$A$2:$B$86,2,FALSE)</f>
        <v/>
      </c>
    </row>
    <row r="254">
      <c r="A254" t="inlineStr">
        <is>
          <t>user_0061</t>
        </is>
      </c>
      <c r="B254" t="inlineStr">
        <is>
          <t>S1</t>
        </is>
      </c>
      <c r="C254" t="inlineStr">
        <is>
          <t>C1</t>
        </is>
      </c>
      <c r="D254" t="n">
        <v>0</v>
      </c>
      <c r="E254" t="inlineStr">
        <is>
          <t>2026-03-25T10:27:36.978102+00:00</t>
        </is>
      </c>
      <c r="F254" t="inlineStr">
        <is>
          <t>2026-03-25T10:27:36.997973+00:00</t>
        </is>
      </c>
      <c r="G254" t="n">
        <v>4</v>
      </c>
      <c r="H254" t="n">
        <v>59.75</v>
      </c>
      <c r="I254" t="n">
        <v>1</v>
      </c>
      <c r="J254" t="n">
        <v>1</v>
      </c>
      <c r="K254" t="n">
        <v>1</v>
      </c>
      <c r="M254" t="inlineStr">
        <is>
          <t>matches_completely</t>
        </is>
      </c>
      <c r="N254" t="n">
        <v>5</v>
      </c>
      <c r="Q254" t="inlineStr">
        <is>
          <t>correct</t>
        </is>
      </c>
      <c r="R254" t="inlineStr">
        <is>
          <t>correct</t>
        </is>
      </c>
      <c r="T254" t="inlineStr">
        <is>
          <t>correct</t>
        </is>
      </c>
      <c r="U254">
        <f>IF(T254="correct",1,0)</f>
        <v/>
      </c>
      <c r="V254">
        <f>VLOOKUP(A254,Participants!$A$2:$B$86,2,FALSE)</f>
        <v/>
      </c>
    </row>
    <row r="255">
      <c r="A255" t="inlineStr">
        <is>
          <t>user_0061</t>
        </is>
      </c>
      <c r="B255" t="inlineStr">
        <is>
          <t>M1</t>
        </is>
      </c>
      <c r="C255" t="inlineStr">
        <is>
          <t>C2</t>
        </is>
      </c>
      <c r="D255" t="n">
        <v>1</v>
      </c>
      <c r="E255" t="inlineStr">
        <is>
          <t>2026-03-25T10:34:27.009156+00:00</t>
        </is>
      </c>
      <c r="F255" t="inlineStr">
        <is>
          <t>2026-03-25T10:34:27.025004+00:00</t>
        </is>
      </c>
      <c r="G255" t="n">
        <v>4</v>
      </c>
      <c r="H255" t="n">
        <v>251.62</v>
      </c>
      <c r="I255" t="n">
        <v>1</v>
      </c>
      <c r="J255" t="n">
        <v>1</v>
      </c>
      <c r="K255" t="n">
        <v>1</v>
      </c>
      <c r="M255" t="inlineStr">
        <is>
          <t>matches_completely</t>
        </is>
      </c>
      <c r="N255" t="n">
        <v>5</v>
      </c>
      <c r="Q255" t="inlineStr">
        <is>
          <t>correct</t>
        </is>
      </c>
      <c r="R255" t="inlineStr">
        <is>
          <t>correct</t>
        </is>
      </c>
      <c r="T255" t="inlineStr">
        <is>
          <t>correct</t>
        </is>
      </c>
      <c r="U255">
        <f>IF(T255="correct",1,0)</f>
        <v/>
      </c>
      <c r="V255">
        <f>VLOOKUP(A255,Participants!$A$2:$B$86,2,FALSE)</f>
        <v/>
      </c>
    </row>
    <row r="256">
      <c r="A256" t="inlineStr">
        <is>
          <t>user_0061</t>
        </is>
      </c>
      <c r="B256" t="inlineStr">
        <is>
          <t>C1</t>
        </is>
      </c>
      <c r="C256" t="inlineStr">
        <is>
          <t>C3</t>
        </is>
      </c>
      <c r="D256" t="n">
        <v>2</v>
      </c>
      <c r="E256" t="inlineStr">
        <is>
          <t>2026-03-25T10:42:38.048891+00:00</t>
        </is>
      </c>
      <c r="F256" t="inlineStr">
        <is>
          <t>2026-03-25T10:42:38.065400+00:00</t>
        </is>
      </c>
      <c r="G256" t="n">
        <v>4</v>
      </c>
      <c r="H256" t="n">
        <v>56.88</v>
      </c>
      <c r="I256" t="n">
        <v>1</v>
      </c>
      <c r="J256" t="n">
        <v>1</v>
      </c>
      <c r="K256" t="n">
        <v>1</v>
      </c>
      <c r="M256" t="inlineStr">
        <is>
          <t>matches_completely</t>
        </is>
      </c>
      <c r="N256" t="n">
        <v>5</v>
      </c>
      <c r="Q256" t="inlineStr">
        <is>
          <t>correct</t>
        </is>
      </c>
      <c r="R256" t="inlineStr">
        <is>
          <t>correct</t>
        </is>
      </c>
      <c r="T256" t="inlineStr">
        <is>
          <t>correct</t>
        </is>
      </c>
      <c r="U256">
        <f>IF(T256="correct",1,0)</f>
        <v/>
      </c>
      <c r="V256">
        <f>VLOOKUP(A256,Participants!$A$2:$B$86,2,FALSE)</f>
        <v/>
      </c>
    </row>
    <row r="257">
      <c r="A257" t="inlineStr">
        <is>
          <t>user_0061</t>
        </is>
      </c>
      <c r="B257" t="inlineStr">
        <is>
          <t>S2</t>
        </is>
      </c>
      <c r="C257" t="inlineStr">
        <is>
          <t>C1</t>
        </is>
      </c>
      <c r="D257" t="n">
        <v>3</v>
      </c>
      <c r="E257" t="inlineStr">
        <is>
          <t>2026-03-25T10:50:49.965159+00:00</t>
        </is>
      </c>
      <c r="F257" t="inlineStr">
        <is>
          <t>2026-03-25T10:50:49.982514+00:00</t>
        </is>
      </c>
      <c r="G257" t="n">
        <v>4</v>
      </c>
      <c r="H257" t="n">
        <v>157.62</v>
      </c>
      <c r="I257" t="n">
        <v>1</v>
      </c>
      <c r="J257" t="n">
        <v>1</v>
      </c>
      <c r="K257" t="n">
        <v>1</v>
      </c>
      <c r="M257" t="inlineStr">
        <is>
          <t>matches_completely</t>
        </is>
      </c>
      <c r="N257" t="n">
        <v>4</v>
      </c>
      <c r="Q257" t="inlineStr">
        <is>
          <t>correct</t>
        </is>
      </c>
      <c r="R257" t="inlineStr">
        <is>
          <t>correct</t>
        </is>
      </c>
      <c r="T257" t="inlineStr">
        <is>
          <t>correct</t>
        </is>
      </c>
      <c r="U257">
        <f>IF(T257="correct",1,0)</f>
        <v/>
      </c>
      <c r="V257">
        <f>VLOOKUP(A257,Participants!$A$2:$B$86,2,FALSE)</f>
        <v/>
      </c>
    </row>
    <row r="258">
      <c r="A258" t="inlineStr">
        <is>
          <t>user_0061</t>
        </is>
      </c>
      <c r="B258" t="inlineStr">
        <is>
          <t>M2</t>
        </is>
      </c>
      <c r="C258" t="inlineStr">
        <is>
          <t>C2</t>
        </is>
      </c>
      <c r="D258" t="n">
        <v>4</v>
      </c>
      <c r="E258" t="inlineStr">
        <is>
          <t>2026-03-25T10:52:06.638590+00:00</t>
        </is>
      </c>
      <c r="F258" t="inlineStr">
        <is>
          <t>2026-03-25T10:52:06.654389+00:00</t>
        </is>
      </c>
      <c r="G258" t="n">
        <v>4</v>
      </c>
      <c r="H258" t="n">
        <v>88.98</v>
      </c>
      <c r="I258" t="n">
        <v>1</v>
      </c>
      <c r="J258" t="n">
        <v>1</v>
      </c>
      <c r="K258" t="n">
        <v>1</v>
      </c>
      <c r="M258" t="inlineStr">
        <is>
          <t>matches_completely</t>
        </is>
      </c>
      <c r="N258" t="n">
        <v>5</v>
      </c>
      <c r="Q258" t="inlineStr">
        <is>
          <t>correct</t>
        </is>
      </c>
      <c r="R258" t="inlineStr">
        <is>
          <t>correct</t>
        </is>
      </c>
      <c r="T258" t="inlineStr">
        <is>
          <t>correct</t>
        </is>
      </c>
      <c r="U258">
        <f>IF(T258="correct",1,0)</f>
        <v/>
      </c>
      <c r="V258">
        <f>VLOOKUP(A258,Participants!$A$2:$B$86,2,FALSE)</f>
        <v/>
      </c>
    </row>
    <row r="259">
      <c r="A259" t="inlineStr">
        <is>
          <t>user_0061</t>
        </is>
      </c>
      <c r="B259" t="inlineStr">
        <is>
          <t>C2</t>
        </is>
      </c>
      <c r="C259" t="inlineStr">
        <is>
          <t>C3</t>
        </is>
      </c>
      <c r="D259" t="n">
        <v>5</v>
      </c>
      <c r="E259" t="inlineStr">
        <is>
          <t>2026-03-25T10:54:10.206630+00:00</t>
        </is>
      </c>
      <c r="F259" t="inlineStr">
        <is>
          <t>2026-03-25T10:54:10.226530+00:00</t>
        </is>
      </c>
      <c r="G259" t="n">
        <v>4</v>
      </c>
      <c r="H259" t="n">
        <v>122.41</v>
      </c>
      <c r="I259" t="n">
        <v>1</v>
      </c>
      <c r="J259" t="n">
        <v>1</v>
      </c>
      <c r="K259" t="n">
        <v>1</v>
      </c>
      <c r="M259" t="inlineStr">
        <is>
          <t>matches_completely</t>
        </is>
      </c>
      <c r="N259" t="n">
        <v>4</v>
      </c>
      <c r="Q259" t="inlineStr">
        <is>
          <t>correct</t>
        </is>
      </c>
      <c r="R259" t="inlineStr">
        <is>
          <t>correct</t>
        </is>
      </c>
      <c r="T259" t="inlineStr">
        <is>
          <t>correct</t>
        </is>
      </c>
      <c r="U259">
        <f>IF(T259="correct",1,0)</f>
        <v/>
      </c>
      <c r="V259">
        <f>VLOOKUP(A259,Participants!$A$2:$B$86,2,FALSE)</f>
        <v/>
      </c>
    </row>
    <row r="260">
      <c r="A260" t="inlineStr">
        <is>
          <t>user_0065</t>
        </is>
      </c>
      <c r="B260" t="inlineStr">
        <is>
          <t>S1</t>
        </is>
      </c>
      <c r="C260" t="inlineStr">
        <is>
          <t>C1</t>
        </is>
      </c>
      <c r="D260" t="n">
        <v>0</v>
      </c>
      <c r="E260" t="inlineStr">
        <is>
          <t>2026-03-25T21:10:30.325426+00:00</t>
        </is>
      </c>
      <c r="F260" t="inlineStr">
        <is>
          <t>2026-03-25T21:10:30.340961+00:00</t>
        </is>
      </c>
      <c r="G260" t="n">
        <v>5</v>
      </c>
      <c r="H260" t="n">
        <v>39.44</v>
      </c>
      <c r="I260" t="n">
        <v>1</v>
      </c>
      <c r="J260" t="n">
        <v>1</v>
      </c>
      <c r="K260" t="n">
        <v>1</v>
      </c>
      <c r="M260" t="inlineStr">
        <is>
          <t>matches_completely</t>
        </is>
      </c>
      <c r="N260" t="n">
        <v>5</v>
      </c>
      <c r="Q260" t="inlineStr">
        <is>
          <t>correct</t>
        </is>
      </c>
      <c r="R260" t="inlineStr">
        <is>
          <t>correct</t>
        </is>
      </c>
      <c r="T260" t="inlineStr">
        <is>
          <t>correct</t>
        </is>
      </c>
      <c r="U260">
        <f>IF(T260="correct",1,0)</f>
        <v/>
      </c>
      <c r="V260">
        <f>VLOOKUP(A260,Participants!$A$2:$B$86,2,FALSE)</f>
        <v/>
      </c>
    </row>
    <row r="261">
      <c r="A261" t="inlineStr">
        <is>
          <t>user_0065</t>
        </is>
      </c>
      <c r="B261" t="inlineStr">
        <is>
          <t>M1</t>
        </is>
      </c>
      <c r="C261" t="inlineStr">
        <is>
          <t>C2</t>
        </is>
      </c>
      <c r="D261" t="n">
        <v>1</v>
      </c>
      <c r="E261" t="inlineStr">
        <is>
          <t>2026-03-25T21:17:12.902117+00:00</t>
        </is>
      </c>
      <c r="F261" t="inlineStr">
        <is>
          <t>2026-03-25T21:17:12.919129+00:00</t>
        </is>
      </c>
      <c r="G261" t="n">
        <v>4</v>
      </c>
      <c r="H261" t="n">
        <v>42.19</v>
      </c>
      <c r="I261" t="n">
        <v>1</v>
      </c>
      <c r="J261" t="n">
        <v>1</v>
      </c>
      <c r="K261" t="n">
        <v>0</v>
      </c>
      <c r="M261" t="inlineStr">
        <is>
          <t>partially</t>
        </is>
      </c>
      <c r="N261" t="n">
        <v>5</v>
      </c>
      <c r="Q261" t="inlineStr">
        <is>
          <t>correct</t>
        </is>
      </c>
      <c r="R261" t="inlineStr">
        <is>
          <t>correct</t>
        </is>
      </c>
      <c r="T261" t="inlineStr">
        <is>
          <t>correct</t>
        </is>
      </c>
      <c r="U261">
        <f>IF(T261="correct",1,0)</f>
        <v/>
      </c>
      <c r="V261">
        <f>VLOOKUP(A261,Participants!$A$2:$B$86,2,FALSE)</f>
        <v/>
      </c>
    </row>
    <row r="262">
      <c r="A262" t="inlineStr">
        <is>
          <t>user_0065</t>
        </is>
      </c>
      <c r="B262" t="inlineStr">
        <is>
          <t>C1</t>
        </is>
      </c>
      <c r="C262" t="inlineStr">
        <is>
          <t>C3</t>
        </is>
      </c>
      <c r="D262" t="n">
        <v>2</v>
      </c>
      <c r="E262" t="inlineStr">
        <is>
          <t>2026-03-25T21:23:28.391153+00:00</t>
        </is>
      </c>
      <c r="F262" t="inlineStr">
        <is>
          <t>2026-03-25T21:23:28.411657+00:00</t>
        </is>
      </c>
      <c r="G262" t="n">
        <v>4</v>
      </c>
      <c r="H262" t="n">
        <v>185.73</v>
      </c>
      <c r="I262" t="n">
        <v>1</v>
      </c>
      <c r="J262" t="n">
        <v>1</v>
      </c>
      <c r="K262" t="n">
        <v>1</v>
      </c>
      <c r="M262" t="inlineStr">
        <is>
          <t>partially</t>
        </is>
      </c>
      <c r="N262" t="n">
        <v>5</v>
      </c>
      <c r="Q262" t="inlineStr">
        <is>
          <t>correct</t>
        </is>
      </c>
      <c r="R262" t="inlineStr">
        <is>
          <t>incorrect</t>
        </is>
      </c>
      <c r="T262" t="inlineStr">
        <is>
          <t>correct</t>
        </is>
      </c>
      <c r="U262">
        <f>IF(T262="correct",1,0)</f>
        <v/>
      </c>
      <c r="V262">
        <f>VLOOKUP(A262,Participants!$A$2:$B$86,2,FALSE)</f>
        <v/>
      </c>
    </row>
    <row r="263">
      <c r="A263" t="inlineStr">
        <is>
          <t>user_0065</t>
        </is>
      </c>
      <c r="B263" t="inlineStr">
        <is>
          <t>S2</t>
        </is>
      </c>
      <c r="C263" t="inlineStr">
        <is>
          <t>C1</t>
        </is>
      </c>
      <c r="D263" t="n">
        <v>3</v>
      </c>
      <c r="E263" t="inlineStr">
        <is>
          <t>2026-03-25T21:32:55.394416+00:00</t>
        </is>
      </c>
      <c r="F263" t="inlineStr">
        <is>
          <t>2026-03-25T21:32:55.413397+00:00</t>
        </is>
      </c>
      <c r="G263" t="n">
        <v>8</v>
      </c>
      <c r="H263" t="n">
        <v>299.56</v>
      </c>
      <c r="I263" t="n">
        <v>2</v>
      </c>
      <c r="J263" t="n">
        <v>1</v>
      </c>
      <c r="K263" t="n">
        <v>1</v>
      </c>
      <c r="M263" t="inlineStr">
        <is>
          <t>does_not_match</t>
        </is>
      </c>
      <c r="N263" t="n">
        <v>4</v>
      </c>
      <c r="Q263" t="inlineStr">
        <is>
          <t>incorrect</t>
        </is>
      </c>
      <c r="R263" t="inlineStr">
        <is>
          <t>incorrect</t>
        </is>
      </c>
      <c r="T263" t="inlineStr">
        <is>
          <t>incorrect</t>
        </is>
      </c>
      <c r="U263">
        <f>IF(T263="correct",1,0)</f>
        <v/>
      </c>
      <c r="V263">
        <f>VLOOKUP(A263,Participants!$A$2:$B$86,2,FALSE)</f>
        <v/>
      </c>
    </row>
    <row r="264">
      <c r="A264" t="inlineStr">
        <is>
          <t>user_0065</t>
        </is>
      </c>
      <c r="B264" t="inlineStr">
        <is>
          <t>M2</t>
        </is>
      </c>
      <c r="C264" t="inlineStr">
        <is>
          <t>C2</t>
        </is>
      </c>
      <c r="D264" t="n">
        <v>4</v>
      </c>
      <c r="E264" t="inlineStr">
        <is>
          <t>2026-03-25T21:37:58.916860+00:00</t>
        </is>
      </c>
      <c r="F264" t="inlineStr">
        <is>
          <t>2026-03-25T21:37:58.934682+00:00</t>
        </is>
      </c>
      <c r="G264" t="n">
        <v>8</v>
      </c>
      <c r="H264" t="n">
        <v>152.27</v>
      </c>
      <c r="I264" t="n">
        <v>2</v>
      </c>
      <c r="J264" t="n">
        <v>1</v>
      </c>
      <c r="K264" t="n">
        <v>1</v>
      </c>
      <c r="M264" t="inlineStr">
        <is>
          <t>does_not_match</t>
        </is>
      </c>
      <c r="N264" t="n">
        <v>5</v>
      </c>
      <c r="Q264" t="inlineStr">
        <is>
          <t>incorrect</t>
        </is>
      </c>
      <c r="R264" t="inlineStr">
        <is>
          <t>incorrect</t>
        </is>
      </c>
      <c r="T264" t="inlineStr">
        <is>
          <t>incorrect</t>
        </is>
      </c>
      <c r="U264">
        <f>IF(T264="correct",1,0)</f>
        <v/>
      </c>
      <c r="V264">
        <f>VLOOKUP(A264,Participants!$A$2:$B$86,2,FALSE)</f>
        <v/>
      </c>
    </row>
    <row r="265">
      <c r="A265" t="inlineStr">
        <is>
          <t>user_0065</t>
        </is>
      </c>
      <c r="B265" t="inlineStr">
        <is>
          <t>C2</t>
        </is>
      </c>
      <c r="C265" t="inlineStr">
        <is>
          <t>C3</t>
        </is>
      </c>
      <c r="D265" t="n">
        <v>5</v>
      </c>
      <c r="E265" t="inlineStr">
        <is>
          <t>2026-03-25T21:44:39.321150+00:00</t>
        </is>
      </c>
      <c r="F265" t="inlineStr">
        <is>
          <t>2026-03-25T21:44:39.337738+00:00</t>
        </is>
      </c>
      <c r="G265" t="n">
        <v>4</v>
      </c>
      <c r="H265" t="n">
        <v>187.17</v>
      </c>
      <c r="I265" t="n">
        <v>1</v>
      </c>
      <c r="J265" t="n">
        <v>1</v>
      </c>
      <c r="K265" t="n">
        <v>1</v>
      </c>
      <c r="M265" t="inlineStr">
        <is>
          <t>unsure</t>
        </is>
      </c>
      <c r="N265" t="n">
        <v>3</v>
      </c>
      <c r="Q265" t="inlineStr">
        <is>
          <t>incorrect</t>
        </is>
      </c>
      <c r="R265" t="inlineStr">
        <is>
          <t>incorrect</t>
        </is>
      </c>
      <c r="T265" t="inlineStr">
        <is>
          <t>incorrect</t>
        </is>
      </c>
      <c r="U265">
        <f>IF(T265="correct",1,0)</f>
        <v/>
      </c>
      <c r="V265">
        <f>VLOOKUP(A265,Participants!$A$2:$B$86,2,FALSE)</f>
        <v/>
      </c>
    </row>
    <row r="266">
      <c r="A266" t="inlineStr">
        <is>
          <t>user_0067</t>
        </is>
      </c>
      <c r="B266" t="inlineStr">
        <is>
          <t>S1</t>
        </is>
      </c>
      <c r="C266" t="inlineStr">
        <is>
          <t>C1</t>
        </is>
      </c>
      <c r="D266" t="n">
        <v>0</v>
      </c>
      <c r="E266" t="inlineStr">
        <is>
          <t>2026-03-25T10:27:34.483894+00:00</t>
        </is>
      </c>
      <c r="F266" t="inlineStr">
        <is>
          <t>2026-03-25T10:27:34.507106+00:00</t>
        </is>
      </c>
      <c r="G266" t="n">
        <v>8</v>
      </c>
      <c r="H266" t="n">
        <v>192.44</v>
      </c>
      <c r="I266" t="n">
        <v>1</v>
      </c>
      <c r="J266" t="n">
        <v>1</v>
      </c>
      <c r="K266" t="n">
        <v>1</v>
      </c>
      <c r="M266" t="inlineStr">
        <is>
          <t>matches_completely</t>
        </is>
      </c>
      <c r="N266" t="n">
        <v>4</v>
      </c>
      <c r="Q266" t="inlineStr">
        <is>
          <t>correct</t>
        </is>
      </c>
      <c r="R266" t="inlineStr">
        <is>
          <t>correct</t>
        </is>
      </c>
      <c r="T266" t="inlineStr">
        <is>
          <t>correct</t>
        </is>
      </c>
      <c r="U266">
        <f>IF(T266="correct",1,0)</f>
        <v/>
      </c>
      <c r="V266">
        <f>VLOOKUP(A266,Participants!$A$2:$B$86,2,FALSE)</f>
        <v/>
      </c>
    </row>
    <row r="267">
      <c r="A267" t="inlineStr">
        <is>
          <t>user_0067</t>
        </is>
      </c>
      <c r="B267" t="inlineStr">
        <is>
          <t>M1</t>
        </is>
      </c>
      <c r="C267" t="inlineStr">
        <is>
          <t>C2</t>
        </is>
      </c>
      <c r="D267" t="n">
        <v>1</v>
      </c>
      <c r="E267" t="inlineStr">
        <is>
          <t>2026-03-25T10:40:55.731221+00:00</t>
        </is>
      </c>
      <c r="F267" t="inlineStr">
        <is>
          <t>2026-03-25T10:40:55.758683+00:00</t>
        </is>
      </c>
      <c r="G267" t="n">
        <v>11</v>
      </c>
      <c r="H267" t="n">
        <v>646.77</v>
      </c>
      <c r="I267" t="n">
        <v>2</v>
      </c>
      <c r="J267" t="n">
        <v>1</v>
      </c>
      <c r="K267" t="n">
        <v>1</v>
      </c>
      <c r="M267" t="inlineStr">
        <is>
          <t>partially</t>
        </is>
      </c>
      <c r="N267" t="n">
        <v>5</v>
      </c>
      <c r="Q267" t="inlineStr">
        <is>
          <t>correct</t>
        </is>
      </c>
      <c r="R267" t="inlineStr">
        <is>
          <t>correct</t>
        </is>
      </c>
      <c r="T267" t="inlineStr">
        <is>
          <t>correct</t>
        </is>
      </c>
      <c r="U267">
        <f>IF(T267="correct",1,0)</f>
        <v/>
      </c>
      <c r="V267">
        <f>VLOOKUP(A267,Participants!$A$2:$B$86,2,FALSE)</f>
        <v/>
      </c>
    </row>
    <row r="268">
      <c r="A268" t="inlineStr">
        <is>
          <t>user_0067</t>
        </is>
      </c>
      <c r="B268" t="inlineStr">
        <is>
          <t>C1</t>
        </is>
      </c>
      <c r="C268" t="inlineStr">
        <is>
          <t>C3</t>
        </is>
      </c>
      <c r="D268" t="n">
        <v>2</v>
      </c>
      <c r="E268" t="inlineStr">
        <is>
          <t>2026-03-25T10:43:16.568554+00:00</t>
        </is>
      </c>
      <c r="F268" t="inlineStr">
        <is>
          <t>2026-03-25T10:43:16.584386+00:00</t>
        </is>
      </c>
      <c r="G268" t="n">
        <v>4</v>
      </c>
      <c r="H268" t="n">
        <v>37.95</v>
      </c>
      <c r="I268" t="n">
        <v>1</v>
      </c>
      <c r="J268" t="n">
        <v>1</v>
      </c>
      <c r="K268" t="n">
        <v>1</v>
      </c>
      <c r="M268" t="inlineStr">
        <is>
          <t>matches_completely</t>
        </is>
      </c>
      <c r="N268" t="n">
        <v>5</v>
      </c>
      <c r="Q268" t="inlineStr">
        <is>
          <t>correct</t>
        </is>
      </c>
      <c r="R268" t="inlineStr">
        <is>
          <t>correct</t>
        </is>
      </c>
      <c r="T268" t="inlineStr">
        <is>
          <t>correct</t>
        </is>
      </c>
      <c r="U268">
        <f>IF(T268="correct",1,0)</f>
        <v/>
      </c>
      <c r="V268">
        <f>VLOOKUP(A268,Participants!$A$2:$B$86,2,FALSE)</f>
        <v/>
      </c>
    </row>
    <row r="269">
      <c r="A269" t="inlineStr">
        <is>
          <t>user_0067</t>
        </is>
      </c>
      <c r="B269" t="inlineStr">
        <is>
          <t>S2</t>
        </is>
      </c>
      <c r="C269" t="inlineStr">
        <is>
          <t>C1</t>
        </is>
      </c>
      <c r="D269" t="n">
        <v>3</v>
      </c>
      <c r="E269" t="inlineStr">
        <is>
          <t>2026-03-25T10:44:42.872570+00:00</t>
        </is>
      </c>
      <c r="F269" t="inlineStr">
        <is>
          <t>2026-03-25T10:44:42.892963+00:00</t>
        </is>
      </c>
      <c r="G269" t="n">
        <v>4</v>
      </c>
      <c r="H269" t="n">
        <v>55.44</v>
      </c>
      <c r="I269" t="n">
        <v>1</v>
      </c>
      <c r="J269" t="n">
        <v>1</v>
      </c>
      <c r="K269" t="n">
        <v>1</v>
      </c>
      <c r="M269" t="inlineStr">
        <is>
          <t>matches_completely</t>
        </is>
      </c>
      <c r="N269" t="n">
        <v>5</v>
      </c>
      <c r="Q269" t="inlineStr">
        <is>
          <t>correct</t>
        </is>
      </c>
      <c r="R269" t="inlineStr">
        <is>
          <t>correct</t>
        </is>
      </c>
      <c r="T269" t="inlineStr">
        <is>
          <t>correct</t>
        </is>
      </c>
      <c r="U269">
        <f>IF(T269="correct",1,0)</f>
        <v/>
      </c>
      <c r="V269">
        <f>VLOOKUP(A269,Participants!$A$2:$B$86,2,FALSE)</f>
        <v/>
      </c>
    </row>
    <row r="270">
      <c r="A270" t="inlineStr">
        <is>
          <t>user_0067</t>
        </is>
      </c>
      <c r="B270" t="inlineStr">
        <is>
          <t>M2</t>
        </is>
      </c>
      <c r="C270" t="inlineStr">
        <is>
          <t>C2</t>
        </is>
      </c>
      <c r="D270" t="n">
        <v>4</v>
      </c>
      <c r="E270" t="inlineStr">
        <is>
          <t>2026-03-25T10:45:17.569410+00:00</t>
        </is>
      </c>
      <c r="F270" t="inlineStr">
        <is>
          <t>2026-03-25T10:45:17.589385+00:00</t>
        </is>
      </c>
      <c r="G270" t="n">
        <v>4</v>
      </c>
      <c r="H270" t="n">
        <v>62.5</v>
      </c>
      <c r="I270" t="n">
        <v>1</v>
      </c>
      <c r="J270" t="n">
        <v>1</v>
      </c>
      <c r="K270" t="n">
        <v>1</v>
      </c>
      <c r="M270" t="inlineStr">
        <is>
          <t>matches_completely</t>
        </is>
      </c>
      <c r="N270" t="n">
        <v>5</v>
      </c>
      <c r="Q270" t="inlineStr">
        <is>
          <t>correct</t>
        </is>
      </c>
      <c r="R270" t="inlineStr">
        <is>
          <t>correct</t>
        </is>
      </c>
      <c r="T270" t="inlineStr">
        <is>
          <t>correct</t>
        </is>
      </c>
      <c r="U270">
        <f>IF(T270="correct",1,0)</f>
        <v/>
      </c>
      <c r="V270">
        <f>VLOOKUP(A270,Participants!$A$2:$B$86,2,FALSE)</f>
        <v/>
      </c>
    </row>
    <row r="271">
      <c r="A271" t="inlineStr">
        <is>
          <t>user_0067</t>
        </is>
      </c>
      <c r="B271" t="inlineStr">
        <is>
          <t>C2</t>
        </is>
      </c>
      <c r="C271" t="inlineStr">
        <is>
          <t>C3</t>
        </is>
      </c>
      <c r="D271" t="n">
        <v>5</v>
      </c>
      <c r="E271" t="inlineStr">
        <is>
          <t>2026-03-25T10:46:07.501403+00:00</t>
        </is>
      </c>
      <c r="F271" t="inlineStr">
        <is>
          <t>2026-03-25T10:46:07.522800+00:00</t>
        </is>
      </c>
      <c r="G271" t="n">
        <v>4</v>
      </c>
      <c r="H271" t="n">
        <v>59.94</v>
      </c>
      <c r="I271" t="n">
        <v>1</v>
      </c>
      <c r="J271" t="n">
        <v>1</v>
      </c>
      <c r="K271" t="n">
        <v>1</v>
      </c>
      <c r="M271" t="inlineStr">
        <is>
          <t>matches_completely</t>
        </is>
      </c>
      <c r="N271" t="n">
        <v>4</v>
      </c>
      <c r="Q271" t="inlineStr">
        <is>
          <t>correct</t>
        </is>
      </c>
      <c r="R271" t="inlineStr">
        <is>
          <t>correct</t>
        </is>
      </c>
      <c r="T271" t="inlineStr">
        <is>
          <t>correct</t>
        </is>
      </c>
      <c r="U271">
        <f>IF(T271="correct",1,0)</f>
        <v/>
      </c>
      <c r="V271">
        <f>VLOOKUP(A271,Participants!$A$2:$B$86,2,FALSE)</f>
        <v/>
      </c>
    </row>
    <row r="272">
      <c r="A272" t="inlineStr">
        <is>
          <t>user_0101</t>
        </is>
      </c>
      <c r="B272" t="inlineStr">
        <is>
          <t>E2</t>
        </is>
      </c>
      <c r="C272" t="inlineStr">
        <is>
          <t>C1</t>
        </is>
      </c>
      <c r="D272" t="n">
        <v>0</v>
      </c>
      <c r="E272" t="inlineStr">
        <is>
          <t>2026-03-24T15:15:14.358544+00:00</t>
        </is>
      </c>
      <c r="F272" t="inlineStr">
        <is>
          <t>2026-03-24T15:15:14.379252+00:00</t>
        </is>
      </c>
      <c r="G272" t="n">
        <v>4</v>
      </c>
      <c r="H272" t="n">
        <v>259.12</v>
      </c>
      <c r="I272" t="n">
        <v>1</v>
      </c>
      <c r="J272" t="n">
        <v>1</v>
      </c>
      <c r="K272" t="n">
        <v>1</v>
      </c>
      <c r="M272" t="inlineStr">
        <is>
          <t>matches_completely</t>
        </is>
      </c>
      <c r="N272" t="n">
        <v>4</v>
      </c>
      <c r="O272" t="inlineStr">
        <is>
          <t>yes</t>
        </is>
      </c>
      <c r="Q272" t="inlineStr">
        <is>
          <t>correct</t>
        </is>
      </c>
      <c r="R272" t="inlineStr">
        <is>
          <t>correct</t>
        </is>
      </c>
      <c r="S272" t="inlineStr">
        <is>
          <t>does_not_match</t>
        </is>
      </c>
      <c r="T272" t="inlineStr">
        <is>
          <t>correct</t>
        </is>
      </c>
      <c r="U272">
        <f>IF(T272="correct",1,0)</f>
        <v/>
      </c>
      <c r="V272">
        <f>VLOOKUP(A272,Participants!$A$2:$B$86,2,FALSE)</f>
        <v/>
      </c>
    </row>
    <row r="273">
      <c r="A273" t="inlineStr">
        <is>
          <t>user_0101</t>
        </is>
      </c>
      <c r="B273" t="inlineStr">
        <is>
          <t>E1</t>
        </is>
      </c>
      <c r="C273" t="inlineStr">
        <is>
          <t>C2</t>
        </is>
      </c>
      <c r="D273" t="n">
        <v>1</v>
      </c>
      <c r="E273" t="inlineStr">
        <is>
          <t>2026-03-24T15:19:53.091222+00:00</t>
        </is>
      </c>
      <c r="F273" t="inlineStr">
        <is>
          <t>2026-03-24T15:19:53.113936+00:00</t>
        </is>
      </c>
      <c r="G273" t="n">
        <v>5</v>
      </c>
      <c r="H273" t="n">
        <v>202.59</v>
      </c>
      <c r="I273" t="n">
        <v>1</v>
      </c>
      <c r="J273" t="n">
        <v>1</v>
      </c>
      <c r="K273" t="n">
        <v>1</v>
      </c>
      <c r="M273" t="inlineStr">
        <is>
          <t>matches_completely</t>
        </is>
      </c>
      <c r="N273" t="n">
        <v>5</v>
      </c>
      <c r="O273" t="inlineStr">
        <is>
          <t>yes</t>
        </is>
      </c>
      <c r="Q273" t="inlineStr">
        <is>
          <t>correct</t>
        </is>
      </c>
      <c r="R273" t="inlineStr">
        <is>
          <t>correct</t>
        </is>
      </c>
      <c r="S273" t="inlineStr">
        <is>
          <t>matches_completely</t>
        </is>
      </c>
      <c r="T273" t="inlineStr">
        <is>
          <t>correct</t>
        </is>
      </c>
      <c r="U273">
        <f>IF(T273="correct",1,0)</f>
        <v/>
      </c>
      <c r="V273">
        <f>VLOOKUP(A273,Participants!$A$2:$B$86,2,FALSE)</f>
        <v/>
      </c>
    </row>
    <row r="274">
      <c r="A274" t="inlineStr">
        <is>
          <t>user_0101</t>
        </is>
      </c>
      <c r="B274" t="inlineStr">
        <is>
          <t>E3</t>
        </is>
      </c>
      <c r="C274" t="inlineStr">
        <is>
          <t>C3</t>
        </is>
      </c>
      <c r="D274" t="n">
        <v>2</v>
      </c>
      <c r="E274" t="inlineStr">
        <is>
          <t>2026-03-24T15:27:34.983199+00:00</t>
        </is>
      </c>
      <c r="F274" t="inlineStr">
        <is>
          <t>2026-03-24T15:27:35.004006+00:00</t>
        </is>
      </c>
      <c r="G274" t="n">
        <v>4</v>
      </c>
      <c r="H274" t="n">
        <v>285.92</v>
      </c>
      <c r="I274" t="n">
        <v>1</v>
      </c>
      <c r="J274" t="n">
        <v>1</v>
      </c>
      <c r="K274" t="n">
        <v>1</v>
      </c>
      <c r="M274" t="inlineStr">
        <is>
          <t>partially</t>
        </is>
      </c>
      <c r="N274" t="n">
        <v>4</v>
      </c>
      <c r="O274" t="inlineStr">
        <is>
          <t>yes</t>
        </is>
      </c>
      <c r="Q274" t="inlineStr">
        <is>
          <t>correct</t>
        </is>
      </c>
      <c r="R274" t="inlineStr">
        <is>
          <t>correct</t>
        </is>
      </c>
      <c r="S274" t="inlineStr">
        <is>
          <t>matches_completely</t>
        </is>
      </c>
      <c r="T274" t="inlineStr">
        <is>
          <t>correct</t>
        </is>
      </c>
      <c r="U274">
        <f>IF(T274="correct",1,0)</f>
        <v/>
      </c>
      <c r="V274">
        <f>VLOOKUP(A274,Participants!$A$2:$B$86,2,FALSE)</f>
        <v/>
      </c>
    </row>
    <row r="275">
      <c r="A275" t="inlineStr">
        <is>
          <t>user_0101</t>
        </is>
      </c>
      <c r="B275" t="inlineStr">
        <is>
          <t>E5</t>
        </is>
      </c>
      <c r="C275" t="inlineStr">
        <is>
          <t>C1</t>
        </is>
      </c>
      <c r="D275" t="n">
        <v>3</v>
      </c>
      <c r="E275" t="inlineStr">
        <is>
          <t>2026-03-24T15:29:47.705224+00:00</t>
        </is>
      </c>
      <c r="F275" t="inlineStr">
        <is>
          <t>2026-03-24T15:29:47.731092+00:00</t>
        </is>
      </c>
      <c r="G275" t="n">
        <v>4</v>
      </c>
      <c r="H275" t="n">
        <v>57.58</v>
      </c>
      <c r="I275" t="n">
        <v>1</v>
      </c>
      <c r="J275" t="n">
        <v>1</v>
      </c>
      <c r="K275" t="n">
        <v>1</v>
      </c>
      <c r="M275" t="inlineStr">
        <is>
          <t>matches_completely</t>
        </is>
      </c>
      <c r="N275" t="n">
        <v>4</v>
      </c>
      <c r="O275" t="inlineStr">
        <is>
          <t>yes</t>
        </is>
      </c>
      <c r="Q275" t="inlineStr">
        <is>
          <t>correct</t>
        </is>
      </c>
      <c r="R275" t="inlineStr">
        <is>
          <t>correct</t>
        </is>
      </c>
      <c r="S275" t="inlineStr">
        <is>
          <t>matches_completely</t>
        </is>
      </c>
      <c r="T275" t="inlineStr">
        <is>
          <t>correct</t>
        </is>
      </c>
      <c r="U275">
        <f>IF(T275="correct",1,0)</f>
        <v/>
      </c>
      <c r="V275">
        <f>VLOOKUP(A275,Participants!$A$2:$B$86,2,FALSE)</f>
        <v/>
      </c>
    </row>
    <row r="276">
      <c r="A276" t="inlineStr">
        <is>
          <t>user_0101</t>
        </is>
      </c>
      <c r="B276" t="inlineStr">
        <is>
          <t>E4</t>
        </is>
      </c>
      <c r="C276" t="inlineStr">
        <is>
          <t>C2</t>
        </is>
      </c>
      <c r="D276" t="n">
        <v>4</v>
      </c>
      <c r="E276" t="inlineStr">
        <is>
          <t>2026-03-24T15:32:45.590243+00:00</t>
        </is>
      </c>
      <c r="F276" t="inlineStr">
        <is>
          <t>2026-03-24T15:32:45.629249+00:00</t>
        </is>
      </c>
      <c r="G276" t="n">
        <v>4</v>
      </c>
      <c r="H276" t="n">
        <v>57.62</v>
      </c>
      <c r="I276" t="n">
        <v>1</v>
      </c>
      <c r="J276" t="n">
        <v>1</v>
      </c>
      <c r="K276" t="n">
        <v>1</v>
      </c>
      <c r="M276" t="inlineStr">
        <is>
          <t>matches_completely</t>
        </is>
      </c>
      <c r="N276" t="n">
        <v>4</v>
      </c>
      <c r="O276" t="inlineStr">
        <is>
          <t>yes</t>
        </is>
      </c>
      <c r="Q276" t="inlineStr">
        <is>
          <t>correct</t>
        </is>
      </c>
      <c r="R276" t="inlineStr">
        <is>
          <t>correct</t>
        </is>
      </c>
      <c r="S276" t="inlineStr">
        <is>
          <t>matches_completely</t>
        </is>
      </c>
      <c r="T276" t="inlineStr">
        <is>
          <t>correct</t>
        </is>
      </c>
      <c r="U276">
        <f>IF(T276="correct",1,0)</f>
        <v/>
      </c>
      <c r="V276">
        <f>VLOOKUP(A276,Participants!$A$2:$B$86,2,FALSE)</f>
        <v/>
      </c>
    </row>
    <row r="277">
      <c r="A277" t="inlineStr">
        <is>
          <t>user_0101</t>
        </is>
      </c>
      <c r="B277" t="inlineStr">
        <is>
          <t>E6</t>
        </is>
      </c>
      <c r="C277" t="inlineStr">
        <is>
          <t>C3</t>
        </is>
      </c>
      <c r="D277" t="n">
        <v>5</v>
      </c>
      <c r="E277" t="inlineStr">
        <is>
          <t>2026-03-24T15:38:54.987267+00:00</t>
        </is>
      </c>
      <c r="F277" t="inlineStr">
        <is>
          <t>2026-03-24T15:38:55.032617+00:00</t>
        </is>
      </c>
      <c r="G277" t="n">
        <v>4</v>
      </c>
      <c r="H277" t="n">
        <v>230.7</v>
      </c>
      <c r="I277" t="n">
        <v>1</v>
      </c>
      <c r="J277" t="n">
        <v>1</v>
      </c>
      <c r="K277" t="n">
        <v>1</v>
      </c>
      <c r="M277" t="inlineStr">
        <is>
          <t>matches_completely</t>
        </is>
      </c>
      <c r="N277" t="n">
        <v>4</v>
      </c>
      <c r="O277" t="inlineStr">
        <is>
          <t>yes</t>
        </is>
      </c>
      <c r="Q277" t="inlineStr">
        <is>
          <t>correct</t>
        </is>
      </c>
      <c r="R277" t="inlineStr">
        <is>
          <t>correct</t>
        </is>
      </c>
      <c r="S277" t="inlineStr">
        <is>
          <t>matches_completely</t>
        </is>
      </c>
      <c r="T277" t="inlineStr">
        <is>
          <t>correct</t>
        </is>
      </c>
      <c r="U277">
        <f>IF(T277="correct",1,0)</f>
        <v/>
      </c>
      <c r="V277">
        <f>VLOOKUP(A277,Participants!$A$2:$B$86,2,FALSE)</f>
        <v/>
      </c>
    </row>
    <row r="278">
      <c r="A278" t="inlineStr">
        <is>
          <t>user_0102</t>
        </is>
      </c>
      <c r="B278" t="inlineStr">
        <is>
          <t>E2</t>
        </is>
      </c>
      <c r="C278" t="inlineStr">
        <is>
          <t>C1</t>
        </is>
      </c>
      <c r="D278" t="n">
        <v>0</v>
      </c>
      <c r="E278" t="inlineStr">
        <is>
          <t>2026-03-24T18:20:59.718601+00:00</t>
        </is>
      </c>
      <c r="F278" t="inlineStr">
        <is>
          <t>2026-03-24T18:20:59.740010+00:00</t>
        </is>
      </c>
      <c r="G278" t="n">
        <v>10</v>
      </c>
      <c r="H278" t="n">
        <v>1289.88</v>
      </c>
      <c r="I278" t="n">
        <v>2</v>
      </c>
      <c r="J278" t="n">
        <v>1</v>
      </c>
      <c r="K278" t="n">
        <v>1</v>
      </c>
      <c r="M278" t="inlineStr">
        <is>
          <t>matches_completely</t>
        </is>
      </c>
      <c r="N278" t="n">
        <v>4</v>
      </c>
      <c r="O278" t="inlineStr">
        <is>
          <t>yes</t>
        </is>
      </c>
      <c r="Q278" t="inlineStr">
        <is>
          <t>correct</t>
        </is>
      </c>
      <c r="R278" t="inlineStr">
        <is>
          <t>correct</t>
        </is>
      </c>
      <c r="S278" t="inlineStr">
        <is>
          <t>partially</t>
        </is>
      </c>
      <c r="T278" t="inlineStr">
        <is>
          <t>correct</t>
        </is>
      </c>
      <c r="U278">
        <f>IF(T278="correct",1,0)</f>
        <v/>
      </c>
      <c r="V278">
        <f>VLOOKUP(A278,Participants!$A$2:$B$86,2,FALSE)</f>
        <v/>
      </c>
    </row>
    <row r="279">
      <c r="A279" t="inlineStr">
        <is>
          <t>user_0102</t>
        </is>
      </c>
      <c r="B279" t="inlineStr">
        <is>
          <t>E1</t>
        </is>
      </c>
      <c r="C279" t="inlineStr">
        <is>
          <t>C2</t>
        </is>
      </c>
      <c r="D279" t="n">
        <v>1</v>
      </c>
      <c r="E279" t="inlineStr">
        <is>
          <t>2026-03-24T18:33:49.816466+00:00</t>
        </is>
      </c>
      <c r="F279" t="inlineStr">
        <is>
          <t>2026-03-24T18:33:49.841796+00:00</t>
        </is>
      </c>
      <c r="G279" t="n">
        <v>6</v>
      </c>
      <c r="H279" t="n">
        <v>338.3</v>
      </c>
      <c r="I279" t="n">
        <v>1</v>
      </c>
      <c r="J279" t="n">
        <v>1</v>
      </c>
      <c r="K279" t="n">
        <v>1</v>
      </c>
      <c r="M279" t="inlineStr">
        <is>
          <t>matches_completely</t>
        </is>
      </c>
      <c r="N279" t="n">
        <v>5</v>
      </c>
      <c r="O279" t="inlineStr">
        <is>
          <t>yes</t>
        </is>
      </c>
      <c r="Q279" t="inlineStr">
        <is>
          <t>correct</t>
        </is>
      </c>
      <c r="R279" t="inlineStr">
        <is>
          <t>correct</t>
        </is>
      </c>
      <c r="S279" t="inlineStr">
        <is>
          <t>partially</t>
        </is>
      </c>
      <c r="T279" t="inlineStr">
        <is>
          <t>correct</t>
        </is>
      </c>
      <c r="U279">
        <f>IF(T279="correct",1,0)</f>
        <v/>
      </c>
      <c r="V279">
        <f>VLOOKUP(A279,Participants!$A$2:$B$86,2,FALSE)</f>
        <v/>
      </c>
    </row>
    <row r="280">
      <c r="A280" t="inlineStr">
        <is>
          <t>user_0102</t>
        </is>
      </c>
      <c r="B280" t="inlineStr">
        <is>
          <t>E3</t>
        </is>
      </c>
      <c r="C280" t="inlineStr">
        <is>
          <t>C3</t>
        </is>
      </c>
      <c r="D280" t="n">
        <v>2</v>
      </c>
      <c r="E280" t="inlineStr">
        <is>
          <t>2026-03-24T18:57:05.582007+00:00</t>
        </is>
      </c>
      <c r="F280" t="inlineStr">
        <is>
          <t>2026-03-24T18:57:05.606809+00:00</t>
        </is>
      </c>
      <c r="G280" t="n">
        <v>8</v>
      </c>
      <c r="H280" t="n">
        <v>582.09</v>
      </c>
      <c r="I280" t="n">
        <v>2</v>
      </c>
      <c r="J280" t="n">
        <v>1</v>
      </c>
      <c r="K280" t="n">
        <v>1</v>
      </c>
      <c r="M280" t="inlineStr">
        <is>
          <t>matches_completely</t>
        </is>
      </c>
      <c r="N280" t="n">
        <v>4</v>
      </c>
      <c r="O280" t="inlineStr">
        <is>
          <t>yes</t>
        </is>
      </c>
      <c r="Q280" t="inlineStr">
        <is>
          <t>correct</t>
        </is>
      </c>
      <c r="R280" t="inlineStr">
        <is>
          <t>correct</t>
        </is>
      </c>
      <c r="S280" t="inlineStr">
        <is>
          <t>matches_completely</t>
        </is>
      </c>
      <c r="T280" t="inlineStr">
        <is>
          <t>correct</t>
        </is>
      </c>
      <c r="U280">
        <f>IF(T280="correct",1,0)</f>
        <v/>
      </c>
      <c r="V280">
        <f>VLOOKUP(A280,Participants!$A$2:$B$86,2,FALSE)</f>
        <v/>
      </c>
    </row>
    <row r="281">
      <c r="A281" t="inlineStr">
        <is>
          <t>user_0102</t>
        </is>
      </c>
      <c r="B281" t="inlineStr">
        <is>
          <t>E5</t>
        </is>
      </c>
      <c r="C281" t="inlineStr">
        <is>
          <t>C1</t>
        </is>
      </c>
      <c r="D281" t="n">
        <v>3</v>
      </c>
      <c r="E281" t="inlineStr">
        <is>
          <t>2026-03-24T19:05:01.995484+00:00</t>
        </is>
      </c>
      <c r="F281" t="inlineStr">
        <is>
          <t>2026-03-24T19:05:02.016099+00:00</t>
        </is>
      </c>
      <c r="G281" t="n">
        <v>4</v>
      </c>
      <c r="H281" t="n">
        <v>60.34</v>
      </c>
      <c r="I281" t="n">
        <v>1</v>
      </c>
      <c r="J281" t="n">
        <v>1</v>
      </c>
      <c r="K281" t="n">
        <v>1</v>
      </c>
      <c r="M281" t="inlineStr">
        <is>
          <t>matches_completely</t>
        </is>
      </c>
      <c r="N281" t="n">
        <v>5</v>
      </c>
      <c r="O281" t="inlineStr">
        <is>
          <t>yes</t>
        </is>
      </c>
      <c r="Q281" t="inlineStr">
        <is>
          <t>correct</t>
        </is>
      </c>
      <c r="R281" t="inlineStr">
        <is>
          <t>correct</t>
        </is>
      </c>
      <c r="S281" t="inlineStr">
        <is>
          <t>matches_completely</t>
        </is>
      </c>
      <c r="T281" t="inlineStr">
        <is>
          <t>correct</t>
        </is>
      </c>
      <c r="U281">
        <f>IF(T281="correct",1,0)</f>
        <v/>
      </c>
      <c r="V281">
        <f>VLOOKUP(A281,Participants!$A$2:$B$86,2,FALSE)</f>
        <v/>
      </c>
    </row>
    <row r="282">
      <c r="A282" t="inlineStr">
        <is>
          <t>user_0102</t>
        </is>
      </c>
      <c r="B282" t="inlineStr">
        <is>
          <t>E4</t>
        </is>
      </c>
      <c r="C282" t="inlineStr">
        <is>
          <t>C2</t>
        </is>
      </c>
      <c r="D282" t="n">
        <v>4</v>
      </c>
      <c r="E282" t="inlineStr">
        <is>
          <t>2026-03-24T19:13:07.748911+00:00</t>
        </is>
      </c>
      <c r="F282" t="inlineStr">
        <is>
          <t>2026-03-24T19:13:07.779093+00:00</t>
        </is>
      </c>
      <c r="G282" t="n">
        <v>4</v>
      </c>
      <c r="H282" t="n">
        <v>44.11</v>
      </c>
      <c r="I282" t="n">
        <v>1</v>
      </c>
      <c r="J282" t="n">
        <v>1</v>
      </c>
      <c r="K282" t="n">
        <v>1</v>
      </c>
      <c r="M282" t="inlineStr">
        <is>
          <t>matches_completely</t>
        </is>
      </c>
      <c r="N282" t="n">
        <v>5</v>
      </c>
      <c r="O282" t="inlineStr">
        <is>
          <t>yes</t>
        </is>
      </c>
      <c r="Q282" t="inlineStr">
        <is>
          <t>correct</t>
        </is>
      </c>
      <c r="R282" t="inlineStr">
        <is>
          <t>correct</t>
        </is>
      </c>
      <c r="S282" t="inlineStr">
        <is>
          <t>matches_completely</t>
        </is>
      </c>
      <c r="T282" t="inlineStr">
        <is>
          <t>correct</t>
        </is>
      </c>
      <c r="U282">
        <f>IF(T282="correct",1,0)</f>
        <v/>
      </c>
      <c r="V282">
        <f>VLOOKUP(A282,Participants!$A$2:$B$86,2,FALSE)</f>
        <v/>
      </c>
    </row>
    <row r="283">
      <c r="A283" t="inlineStr">
        <is>
          <t>user_0102</t>
        </is>
      </c>
      <c r="B283" t="inlineStr">
        <is>
          <t>E6</t>
        </is>
      </c>
      <c r="C283" t="inlineStr">
        <is>
          <t>C3</t>
        </is>
      </c>
      <c r="D283" t="n">
        <v>5</v>
      </c>
      <c r="E283" t="inlineStr">
        <is>
          <t>2026-03-24T19:19:47.226522+00:00</t>
        </is>
      </c>
      <c r="F283" t="inlineStr">
        <is>
          <t>2026-03-24T19:19:47.248395+00:00</t>
        </is>
      </c>
      <c r="G283" t="n">
        <v>4</v>
      </c>
      <c r="H283" t="n">
        <v>45.73</v>
      </c>
      <c r="I283" t="n">
        <v>1</v>
      </c>
      <c r="J283" t="n">
        <v>1</v>
      </c>
      <c r="K283" t="n">
        <v>1</v>
      </c>
      <c r="M283" t="inlineStr">
        <is>
          <t>matches_completely</t>
        </is>
      </c>
      <c r="N283" t="n">
        <v>5</v>
      </c>
      <c r="O283" t="inlineStr">
        <is>
          <t>yes</t>
        </is>
      </c>
      <c r="Q283" t="inlineStr">
        <is>
          <t>correct</t>
        </is>
      </c>
      <c r="R283" t="inlineStr">
        <is>
          <t>correct</t>
        </is>
      </c>
      <c r="S283" t="inlineStr">
        <is>
          <t>matches_completely</t>
        </is>
      </c>
      <c r="T283" t="inlineStr">
        <is>
          <t>correct</t>
        </is>
      </c>
      <c r="U283">
        <f>IF(T283="correct",1,0)</f>
        <v/>
      </c>
      <c r="V283">
        <f>VLOOKUP(A283,Participants!$A$2:$B$86,2,FALSE)</f>
        <v/>
      </c>
    </row>
    <row r="284">
      <c r="A284" t="inlineStr">
        <is>
          <t>user_0103</t>
        </is>
      </c>
      <c r="B284" t="inlineStr">
        <is>
          <t>E2</t>
        </is>
      </c>
      <c r="C284" t="inlineStr">
        <is>
          <t>C1</t>
        </is>
      </c>
      <c r="D284" t="n">
        <v>0</v>
      </c>
      <c r="E284" t="inlineStr">
        <is>
          <t>2026-03-24T18:05:09.253191+00:00</t>
        </is>
      </c>
      <c r="F284" t="inlineStr">
        <is>
          <t>2026-03-24T18:05:09.273817+00:00</t>
        </is>
      </c>
      <c r="G284" t="n">
        <v>4</v>
      </c>
      <c r="H284" t="n">
        <v>651.3</v>
      </c>
      <c r="I284" t="n">
        <v>1</v>
      </c>
      <c r="J284" t="n">
        <v>1</v>
      </c>
      <c r="K284" t="n">
        <v>1</v>
      </c>
      <c r="M284" t="inlineStr">
        <is>
          <t>matches_completely</t>
        </is>
      </c>
      <c r="N284" t="n">
        <v>4</v>
      </c>
      <c r="O284" t="inlineStr">
        <is>
          <t>yes</t>
        </is>
      </c>
      <c r="Q284" t="inlineStr">
        <is>
          <t>correct</t>
        </is>
      </c>
      <c r="R284" t="inlineStr">
        <is>
          <t>correct</t>
        </is>
      </c>
      <c r="S284" t="inlineStr">
        <is>
          <t>does_not_match</t>
        </is>
      </c>
      <c r="T284" t="inlineStr">
        <is>
          <t>correct</t>
        </is>
      </c>
      <c r="U284">
        <f>IF(T284="correct",1,0)</f>
        <v/>
      </c>
      <c r="V284">
        <f>VLOOKUP(A284,Participants!$A$2:$B$86,2,FALSE)</f>
        <v/>
      </c>
    </row>
    <row r="285">
      <c r="A285" t="inlineStr">
        <is>
          <t>user_0103</t>
        </is>
      </c>
      <c r="B285" t="inlineStr">
        <is>
          <t>E1</t>
        </is>
      </c>
      <c r="C285" t="inlineStr">
        <is>
          <t>C2</t>
        </is>
      </c>
      <c r="D285" t="n">
        <v>1</v>
      </c>
      <c r="E285" t="inlineStr">
        <is>
          <t>2026-03-24T18:26:34.994994+00:00</t>
        </is>
      </c>
      <c r="F285" t="inlineStr">
        <is>
          <t>2026-03-24T18:26:35.013572+00:00</t>
        </is>
      </c>
      <c r="G285" t="n">
        <v>4</v>
      </c>
      <c r="H285" t="n">
        <v>1190.89</v>
      </c>
      <c r="I285" t="n">
        <v>1</v>
      </c>
      <c r="J285" t="n">
        <v>1</v>
      </c>
      <c r="K285" t="n">
        <v>1</v>
      </c>
      <c r="M285" t="inlineStr">
        <is>
          <t>matches_completely</t>
        </is>
      </c>
      <c r="N285" t="n">
        <v>5</v>
      </c>
      <c r="O285" t="inlineStr">
        <is>
          <t>yes</t>
        </is>
      </c>
      <c r="Q285" t="inlineStr">
        <is>
          <t>correct</t>
        </is>
      </c>
      <c r="R285" t="inlineStr">
        <is>
          <t>correct</t>
        </is>
      </c>
      <c r="S285" t="inlineStr">
        <is>
          <t>matches_completely</t>
        </is>
      </c>
      <c r="T285" t="inlineStr">
        <is>
          <t>correct</t>
        </is>
      </c>
      <c r="U285">
        <f>IF(T285="correct",1,0)</f>
        <v/>
      </c>
      <c r="V285">
        <f>VLOOKUP(A285,Participants!$A$2:$B$86,2,FALSE)</f>
        <v/>
      </c>
    </row>
    <row r="286">
      <c r="A286" t="inlineStr">
        <is>
          <t>user_0103</t>
        </is>
      </c>
      <c r="B286" t="inlineStr">
        <is>
          <t>E3</t>
        </is>
      </c>
      <c r="C286" t="inlineStr">
        <is>
          <t>C3</t>
        </is>
      </c>
      <c r="D286" t="n">
        <v>2</v>
      </c>
      <c r="E286" t="inlineStr">
        <is>
          <t>2026-03-24T18:54:52.697009+00:00</t>
        </is>
      </c>
      <c r="F286" t="inlineStr">
        <is>
          <t>2026-03-24T18:54:52.727832+00:00</t>
        </is>
      </c>
      <c r="G286" t="n">
        <v>7</v>
      </c>
      <c r="H286" t="n">
        <v>1444.81</v>
      </c>
      <c r="I286" t="n">
        <v>2</v>
      </c>
      <c r="J286" t="n">
        <v>1</v>
      </c>
      <c r="K286" t="n">
        <v>1</v>
      </c>
      <c r="M286" t="inlineStr">
        <is>
          <t>matches_completely</t>
        </is>
      </c>
      <c r="N286" t="n">
        <v>4</v>
      </c>
      <c r="O286" t="inlineStr">
        <is>
          <t>yes</t>
        </is>
      </c>
      <c r="Q286" t="inlineStr">
        <is>
          <t>correct</t>
        </is>
      </c>
      <c r="R286" t="inlineStr">
        <is>
          <t>correct</t>
        </is>
      </c>
      <c r="S286" t="inlineStr">
        <is>
          <t>matches_completely</t>
        </is>
      </c>
      <c r="T286" t="inlineStr">
        <is>
          <t>correct</t>
        </is>
      </c>
      <c r="U286">
        <f>IF(T286="correct",1,0)</f>
        <v/>
      </c>
      <c r="V286">
        <f>VLOOKUP(A286,Participants!$A$2:$B$86,2,FALSE)</f>
        <v/>
      </c>
    </row>
    <row r="287">
      <c r="A287" t="inlineStr">
        <is>
          <t>user_0103</t>
        </is>
      </c>
      <c r="B287" t="inlineStr">
        <is>
          <t>E5</t>
        </is>
      </c>
      <c r="C287" t="inlineStr">
        <is>
          <t>C1</t>
        </is>
      </c>
      <c r="D287" t="n">
        <v>3</v>
      </c>
      <c r="E287" t="inlineStr">
        <is>
          <t>2026-03-24T19:03:33.727661+00:00</t>
        </is>
      </c>
      <c r="F287" t="inlineStr">
        <is>
          <t>2026-03-24T19:03:33.752297+00:00</t>
        </is>
      </c>
      <c r="G287" t="n">
        <v>6</v>
      </c>
      <c r="H287" t="n">
        <v>251.28</v>
      </c>
      <c r="I287" t="n">
        <v>1</v>
      </c>
      <c r="J287" t="n">
        <v>1</v>
      </c>
      <c r="K287" t="n">
        <v>1</v>
      </c>
      <c r="M287" t="inlineStr">
        <is>
          <t>matches_completely</t>
        </is>
      </c>
      <c r="N287" t="n">
        <v>5</v>
      </c>
      <c r="O287" t="inlineStr">
        <is>
          <t>yes</t>
        </is>
      </c>
      <c r="Q287" t="inlineStr">
        <is>
          <t>correct</t>
        </is>
      </c>
      <c r="R287" t="inlineStr">
        <is>
          <t>correct</t>
        </is>
      </c>
      <c r="S287" t="inlineStr">
        <is>
          <t>partially</t>
        </is>
      </c>
      <c r="T287" t="inlineStr">
        <is>
          <t>correct</t>
        </is>
      </c>
      <c r="U287">
        <f>IF(T287="correct",1,0)</f>
        <v/>
      </c>
      <c r="V287">
        <f>VLOOKUP(A287,Participants!$A$2:$B$86,2,FALSE)</f>
        <v/>
      </c>
    </row>
    <row r="288">
      <c r="A288" t="inlineStr">
        <is>
          <t>user_0103</t>
        </is>
      </c>
      <c r="B288" t="inlineStr">
        <is>
          <t>E4</t>
        </is>
      </c>
      <c r="C288" t="inlineStr">
        <is>
          <t>C2</t>
        </is>
      </c>
      <c r="D288" t="n">
        <v>4</v>
      </c>
      <c r="E288" t="inlineStr">
        <is>
          <t>2026-03-24T19:07:55.613712+00:00</t>
        </is>
      </c>
      <c r="F288" t="inlineStr">
        <is>
          <t>2026-03-24T19:07:55.634349+00:00</t>
        </is>
      </c>
      <c r="G288" t="n">
        <v>4</v>
      </c>
      <c r="H288" t="n">
        <v>213.34</v>
      </c>
      <c r="I288" t="n">
        <v>1</v>
      </c>
      <c r="J288" t="n">
        <v>1</v>
      </c>
      <c r="K288" t="n">
        <v>1</v>
      </c>
      <c r="M288" t="inlineStr">
        <is>
          <t>matches_completely</t>
        </is>
      </c>
      <c r="N288" t="n">
        <v>5</v>
      </c>
      <c r="O288" t="inlineStr">
        <is>
          <t>yes</t>
        </is>
      </c>
      <c r="Q288" t="inlineStr">
        <is>
          <t>correct</t>
        </is>
      </c>
      <c r="R288" t="inlineStr">
        <is>
          <t>correct</t>
        </is>
      </c>
      <c r="S288" t="inlineStr">
        <is>
          <t>matches_completely</t>
        </is>
      </c>
      <c r="T288" t="inlineStr">
        <is>
          <t>correct</t>
        </is>
      </c>
      <c r="U288">
        <f>IF(T288="correct",1,0)</f>
        <v/>
      </c>
      <c r="V288">
        <f>VLOOKUP(A288,Participants!$A$2:$B$86,2,FALSE)</f>
        <v/>
      </c>
    </row>
    <row r="289">
      <c r="A289" t="inlineStr">
        <is>
          <t>user_0103</t>
        </is>
      </c>
      <c r="B289" t="inlineStr">
        <is>
          <t>E6</t>
        </is>
      </c>
      <c r="C289" t="inlineStr">
        <is>
          <t>C3</t>
        </is>
      </c>
      <c r="D289" t="n">
        <v>5</v>
      </c>
      <c r="E289" t="inlineStr">
        <is>
          <t>2026-03-24T19:11:19.215816+00:00</t>
        </is>
      </c>
      <c r="F289" t="inlineStr">
        <is>
          <t>2026-03-24T19:11:19.239224+00:00</t>
        </is>
      </c>
      <c r="G289" t="n">
        <v>4</v>
      </c>
      <c r="H289" t="n">
        <v>45.27</v>
      </c>
      <c r="I289" t="n">
        <v>1</v>
      </c>
      <c r="J289" t="n">
        <v>1</v>
      </c>
      <c r="K289" t="n">
        <v>1</v>
      </c>
      <c r="M289" t="inlineStr">
        <is>
          <t>matches_completely</t>
        </is>
      </c>
      <c r="N289" t="n">
        <v>5</v>
      </c>
      <c r="O289" t="inlineStr">
        <is>
          <t>yes</t>
        </is>
      </c>
      <c r="Q289" t="inlineStr">
        <is>
          <t>correct</t>
        </is>
      </c>
      <c r="R289" t="inlineStr">
        <is>
          <t>correct</t>
        </is>
      </c>
      <c r="S289" t="inlineStr">
        <is>
          <t>matches_completely</t>
        </is>
      </c>
      <c r="T289" t="inlineStr">
        <is>
          <t>correct</t>
        </is>
      </c>
      <c r="U289">
        <f>IF(T289="correct",1,0)</f>
        <v/>
      </c>
      <c r="V289">
        <f>VLOOKUP(A289,Participants!$A$2:$B$86,2,FALSE)</f>
        <v/>
      </c>
    </row>
    <row r="290">
      <c r="A290" t="inlineStr">
        <is>
          <t>user_0104</t>
        </is>
      </c>
      <c r="B290" t="inlineStr">
        <is>
          <t>E2</t>
        </is>
      </c>
      <c r="C290" t="inlineStr">
        <is>
          <t>C1</t>
        </is>
      </c>
      <c r="D290" t="n">
        <v>0</v>
      </c>
      <c r="E290" t="inlineStr">
        <is>
          <t>2026-03-24T11:08:33.669320+00:00</t>
        </is>
      </c>
      <c r="F290" t="inlineStr">
        <is>
          <t>2026-03-24T11:08:33.739386+00:00</t>
        </is>
      </c>
      <c r="G290" t="n">
        <v>4</v>
      </c>
      <c r="H290" t="n">
        <v>322.91</v>
      </c>
      <c r="I290" t="n">
        <v>1</v>
      </c>
      <c r="J290" t="n">
        <v>1</v>
      </c>
      <c r="K290" t="n">
        <v>1</v>
      </c>
      <c r="M290" t="inlineStr">
        <is>
          <t>matches_completely</t>
        </is>
      </c>
      <c r="N290" t="n">
        <v>5</v>
      </c>
      <c r="O290" t="inlineStr">
        <is>
          <t>yes</t>
        </is>
      </c>
      <c r="Q290" t="inlineStr">
        <is>
          <t>correct</t>
        </is>
      </c>
      <c r="R290" t="inlineStr">
        <is>
          <t>correct</t>
        </is>
      </c>
      <c r="S290" t="inlineStr">
        <is>
          <t>matches_completely</t>
        </is>
      </c>
      <c r="T290" t="inlineStr">
        <is>
          <t>correct</t>
        </is>
      </c>
      <c r="U290">
        <f>IF(T290="correct",1,0)</f>
        <v/>
      </c>
      <c r="V290">
        <f>VLOOKUP(A290,Participants!$A$2:$B$86,2,FALSE)</f>
        <v/>
      </c>
    </row>
    <row r="291">
      <c r="A291" t="inlineStr">
        <is>
          <t>user_0104</t>
        </is>
      </c>
      <c r="B291" t="inlineStr">
        <is>
          <t>E1</t>
        </is>
      </c>
      <c r="C291" t="inlineStr">
        <is>
          <t>C2</t>
        </is>
      </c>
      <c r="D291" t="n">
        <v>1</v>
      </c>
      <c r="E291" t="inlineStr">
        <is>
          <t>2026-03-24T11:15:01.016913+00:00</t>
        </is>
      </c>
      <c r="F291" t="inlineStr">
        <is>
          <t>2026-03-24T11:15:01.039366+00:00</t>
        </is>
      </c>
      <c r="G291" t="n">
        <v>7</v>
      </c>
      <c r="H291" t="n">
        <v>270.03</v>
      </c>
      <c r="I291" t="n">
        <v>2</v>
      </c>
      <c r="J291" t="n">
        <v>1</v>
      </c>
      <c r="K291" t="n">
        <v>1</v>
      </c>
      <c r="M291" t="inlineStr">
        <is>
          <t>matches_completely</t>
        </is>
      </c>
      <c r="N291" t="n">
        <v>5</v>
      </c>
      <c r="O291" t="inlineStr">
        <is>
          <t>yes</t>
        </is>
      </c>
      <c r="Q291" t="inlineStr">
        <is>
          <t>correct</t>
        </is>
      </c>
      <c r="R291" t="inlineStr">
        <is>
          <t>correct</t>
        </is>
      </c>
      <c r="S291" t="inlineStr">
        <is>
          <t>matches_completely</t>
        </is>
      </c>
      <c r="T291" t="inlineStr">
        <is>
          <t>correct</t>
        </is>
      </c>
      <c r="U291">
        <f>IF(T291="correct",1,0)</f>
        <v/>
      </c>
      <c r="V291">
        <f>VLOOKUP(A291,Participants!$A$2:$B$86,2,FALSE)</f>
        <v/>
      </c>
    </row>
    <row r="292">
      <c r="A292" t="inlineStr">
        <is>
          <t>user_0104</t>
        </is>
      </c>
      <c r="B292" t="inlineStr">
        <is>
          <t>E3</t>
        </is>
      </c>
      <c r="C292" t="inlineStr">
        <is>
          <t>C3</t>
        </is>
      </c>
      <c r="D292" t="n">
        <v>2</v>
      </c>
      <c r="E292" t="inlineStr">
        <is>
          <t>2026-03-24T11:21:15.979996+00:00</t>
        </is>
      </c>
      <c r="F292" t="inlineStr">
        <is>
          <t>2026-03-24T11:21:16.008802+00:00</t>
        </is>
      </c>
      <c r="G292" t="n">
        <v>7</v>
      </c>
      <c r="H292" t="n">
        <v>284.06</v>
      </c>
      <c r="I292" t="n">
        <v>2</v>
      </c>
      <c r="J292" t="n">
        <v>1</v>
      </c>
      <c r="K292" t="n">
        <v>1</v>
      </c>
      <c r="M292" t="inlineStr">
        <is>
          <t>partially</t>
        </is>
      </c>
      <c r="N292" t="n">
        <v>4</v>
      </c>
      <c r="O292" t="inlineStr">
        <is>
          <t>no</t>
        </is>
      </c>
      <c r="Q292" t="inlineStr">
        <is>
          <t>correct</t>
        </is>
      </c>
      <c r="R292" t="inlineStr">
        <is>
          <t>correct</t>
        </is>
      </c>
      <c r="S292" t="inlineStr">
        <is>
          <t>matches_completely</t>
        </is>
      </c>
      <c r="T292" t="inlineStr">
        <is>
          <t>correct</t>
        </is>
      </c>
      <c r="U292">
        <f>IF(T292="correct",1,0)</f>
        <v/>
      </c>
      <c r="V292">
        <f>VLOOKUP(A292,Participants!$A$2:$B$86,2,FALSE)</f>
        <v/>
      </c>
    </row>
    <row r="293">
      <c r="A293" t="inlineStr">
        <is>
          <t>user_0104</t>
        </is>
      </c>
      <c r="B293" t="inlineStr">
        <is>
          <t>E5</t>
        </is>
      </c>
      <c r="C293" t="inlineStr">
        <is>
          <t>C1</t>
        </is>
      </c>
      <c r="D293" t="n">
        <v>3</v>
      </c>
      <c r="E293" t="inlineStr">
        <is>
          <t>2026-03-24T13:04:42.185069+00:00</t>
        </is>
      </c>
      <c r="F293" t="inlineStr">
        <is>
          <t>2026-03-24T13:04:42.209702+00:00</t>
        </is>
      </c>
      <c r="G293" t="n">
        <v>4</v>
      </c>
      <c r="H293" t="n">
        <v>165.19</v>
      </c>
      <c r="I293" t="n">
        <v>1</v>
      </c>
      <c r="J293" t="n">
        <v>1</v>
      </c>
      <c r="K293" t="n">
        <v>1</v>
      </c>
      <c r="M293" t="inlineStr">
        <is>
          <t>matches_completely</t>
        </is>
      </c>
      <c r="N293" t="n">
        <v>5</v>
      </c>
      <c r="O293" t="inlineStr">
        <is>
          <t>yes</t>
        </is>
      </c>
      <c r="Q293" t="inlineStr">
        <is>
          <t>correct</t>
        </is>
      </c>
      <c r="R293" t="inlineStr">
        <is>
          <t>correct</t>
        </is>
      </c>
      <c r="S293" t="inlineStr">
        <is>
          <t>matches_completely</t>
        </is>
      </c>
      <c r="T293" t="inlineStr">
        <is>
          <t>correct</t>
        </is>
      </c>
      <c r="U293">
        <f>IF(T293="correct",1,0)</f>
        <v/>
      </c>
      <c r="V293">
        <f>VLOOKUP(A293,Participants!$A$2:$B$86,2,FALSE)</f>
        <v/>
      </c>
    </row>
    <row r="294">
      <c r="A294" t="inlineStr">
        <is>
          <t>user_0104</t>
        </is>
      </c>
      <c r="B294" t="inlineStr">
        <is>
          <t>E4</t>
        </is>
      </c>
      <c r="C294" t="inlineStr">
        <is>
          <t>C2</t>
        </is>
      </c>
      <c r="D294" t="n">
        <v>4</v>
      </c>
      <c r="E294" t="inlineStr">
        <is>
          <t>2026-03-24T13:06:41.103709+00:00</t>
        </is>
      </c>
      <c r="F294" t="inlineStr">
        <is>
          <t>2026-03-24T13:06:41.125587+00:00</t>
        </is>
      </c>
      <c r="G294" t="n">
        <v>4</v>
      </c>
      <c r="H294" t="n">
        <v>71.73</v>
      </c>
      <c r="I294" t="n">
        <v>1</v>
      </c>
      <c r="J294" t="n">
        <v>1</v>
      </c>
      <c r="K294" t="n">
        <v>1</v>
      </c>
      <c r="M294" t="inlineStr">
        <is>
          <t>matches_completely</t>
        </is>
      </c>
      <c r="N294" t="n">
        <v>4</v>
      </c>
      <c r="O294" t="inlineStr">
        <is>
          <t>yes</t>
        </is>
      </c>
      <c r="Q294" t="inlineStr">
        <is>
          <t>correct</t>
        </is>
      </c>
      <c r="R294" t="inlineStr">
        <is>
          <t>correct</t>
        </is>
      </c>
      <c r="S294" t="inlineStr">
        <is>
          <t>matches_completely</t>
        </is>
      </c>
      <c r="T294" t="inlineStr">
        <is>
          <t>correct</t>
        </is>
      </c>
      <c r="U294">
        <f>IF(T294="correct",1,0)</f>
        <v/>
      </c>
      <c r="V294">
        <f>VLOOKUP(A294,Participants!$A$2:$B$86,2,FALSE)</f>
        <v/>
      </c>
    </row>
    <row r="295">
      <c r="A295" t="inlineStr">
        <is>
          <t>user_0104</t>
        </is>
      </c>
      <c r="B295" t="inlineStr">
        <is>
          <t>E6</t>
        </is>
      </c>
      <c r="C295" t="inlineStr">
        <is>
          <t>C3</t>
        </is>
      </c>
      <c r="D295" t="n">
        <v>5</v>
      </c>
      <c r="E295" t="inlineStr">
        <is>
          <t>2026-03-24T13:08:01.780687+00:00</t>
        </is>
      </c>
      <c r="F295" t="inlineStr">
        <is>
          <t>2026-03-24T13:08:01.799981+00:00</t>
        </is>
      </c>
      <c r="G295" t="n">
        <v>4</v>
      </c>
      <c r="H295" t="n">
        <v>55.02</v>
      </c>
      <c r="I295" t="n">
        <v>1</v>
      </c>
      <c r="J295" t="n">
        <v>1</v>
      </c>
      <c r="K295" t="n">
        <v>1</v>
      </c>
      <c r="M295" t="inlineStr">
        <is>
          <t>matches_completely</t>
        </is>
      </c>
      <c r="N295" t="n">
        <v>4</v>
      </c>
      <c r="O295" t="inlineStr">
        <is>
          <t>yes</t>
        </is>
      </c>
      <c r="Q295" t="inlineStr">
        <is>
          <t>correct</t>
        </is>
      </c>
      <c r="R295" t="inlineStr">
        <is>
          <t>correct</t>
        </is>
      </c>
      <c r="S295" t="inlineStr">
        <is>
          <t>matches_completely</t>
        </is>
      </c>
      <c r="T295" t="inlineStr">
        <is>
          <t>correct</t>
        </is>
      </c>
      <c r="U295">
        <f>IF(T295="correct",1,0)</f>
        <v/>
      </c>
      <c r="V295">
        <f>VLOOKUP(A295,Participants!$A$2:$B$86,2,FALSE)</f>
        <v/>
      </c>
    </row>
    <row r="296">
      <c r="A296" t="inlineStr">
        <is>
          <t>user_0105</t>
        </is>
      </c>
      <c r="B296" t="inlineStr">
        <is>
          <t>E2</t>
        </is>
      </c>
      <c r="C296" t="inlineStr">
        <is>
          <t>C1</t>
        </is>
      </c>
      <c r="D296" t="n">
        <v>0</v>
      </c>
      <c r="E296" t="inlineStr">
        <is>
          <t>2026-03-24T17:57:57.853066+00:00</t>
        </is>
      </c>
      <c r="F296" t="inlineStr">
        <is>
          <t>2026-03-24T17:57:57.873001+00:00</t>
        </is>
      </c>
      <c r="G296" t="n">
        <v>10</v>
      </c>
      <c r="H296" t="n">
        <v>480.8</v>
      </c>
      <c r="I296" t="n">
        <v>3</v>
      </c>
      <c r="J296" t="n">
        <v>1</v>
      </c>
      <c r="K296" t="n">
        <v>1</v>
      </c>
      <c r="M296" t="inlineStr">
        <is>
          <t>matches_completely</t>
        </is>
      </c>
      <c r="N296" t="n">
        <v>4</v>
      </c>
      <c r="O296" t="inlineStr">
        <is>
          <t>yes</t>
        </is>
      </c>
      <c r="Q296" t="inlineStr">
        <is>
          <t>correct</t>
        </is>
      </c>
      <c r="R296" t="inlineStr">
        <is>
          <t>correct</t>
        </is>
      </c>
      <c r="S296" t="inlineStr">
        <is>
          <t>matches_completely</t>
        </is>
      </c>
      <c r="T296" t="inlineStr">
        <is>
          <t>correct</t>
        </is>
      </c>
      <c r="U296">
        <f>IF(T296="correct",1,0)</f>
        <v/>
      </c>
      <c r="V296">
        <f>VLOOKUP(A296,Participants!$A$2:$B$86,2,FALSE)</f>
        <v/>
      </c>
    </row>
    <row r="297">
      <c r="A297" t="inlineStr">
        <is>
          <t>user_0105</t>
        </is>
      </c>
      <c r="B297" t="inlineStr">
        <is>
          <t>E1</t>
        </is>
      </c>
      <c r="C297" t="inlineStr">
        <is>
          <t>C2</t>
        </is>
      </c>
      <c r="D297" t="n">
        <v>1</v>
      </c>
      <c r="E297" t="inlineStr">
        <is>
          <t>2026-03-24T18:11:36.854032+00:00</t>
        </is>
      </c>
      <c r="F297" t="inlineStr">
        <is>
          <t>2026-03-24T18:11:36.875421+00:00</t>
        </is>
      </c>
      <c r="G297" t="n">
        <v>4</v>
      </c>
      <c r="H297" t="n">
        <v>165.5</v>
      </c>
      <c r="I297" t="n">
        <v>1</v>
      </c>
      <c r="J297" t="n">
        <v>1</v>
      </c>
      <c r="K297" t="n">
        <v>1</v>
      </c>
      <c r="M297" t="inlineStr">
        <is>
          <t>matches_completely</t>
        </is>
      </c>
      <c r="N297" t="n">
        <v>4</v>
      </c>
      <c r="O297" t="inlineStr">
        <is>
          <t>yes</t>
        </is>
      </c>
      <c r="Q297" t="inlineStr">
        <is>
          <t>correct</t>
        </is>
      </c>
      <c r="R297" t="inlineStr">
        <is>
          <t>correct</t>
        </is>
      </c>
      <c r="S297" t="inlineStr">
        <is>
          <t>matches_completely</t>
        </is>
      </c>
      <c r="T297" t="inlineStr">
        <is>
          <t>correct</t>
        </is>
      </c>
      <c r="U297">
        <f>IF(T297="correct",1,0)</f>
        <v/>
      </c>
      <c r="V297">
        <f>VLOOKUP(A297,Participants!$A$2:$B$86,2,FALSE)</f>
        <v/>
      </c>
    </row>
    <row r="298">
      <c r="A298" t="inlineStr">
        <is>
          <t>user_0105</t>
        </is>
      </c>
      <c r="B298" t="inlineStr">
        <is>
          <t>E3</t>
        </is>
      </c>
      <c r="C298" t="inlineStr">
        <is>
          <t>C3</t>
        </is>
      </c>
      <c r="D298" t="n">
        <v>2</v>
      </c>
      <c r="E298" t="inlineStr">
        <is>
          <t>2026-03-24T18:20:35.752847+00:00</t>
        </is>
      </c>
      <c r="F298" t="inlineStr">
        <is>
          <t>2026-03-24T18:20:35.770867+00:00</t>
        </is>
      </c>
      <c r="G298" t="n">
        <v>7</v>
      </c>
      <c r="H298" t="n">
        <v>209.59</v>
      </c>
      <c r="I298" t="n">
        <v>2</v>
      </c>
      <c r="J298" t="n">
        <v>1</v>
      </c>
      <c r="K298" t="n">
        <v>1</v>
      </c>
      <c r="M298" t="inlineStr">
        <is>
          <t>matches_completely</t>
        </is>
      </c>
      <c r="N298" t="n">
        <v>4</v>
      </c>
      <c r="O298" t="inlineStr">
        <is>
          <t>yes</t>
        </is>
      </c>
      <c r="Q298" t="inlineStr">
        <is>
          <t>correct</t>
        </is>
      </c>
      <c r="R298" t="inlineStr">
        <is>
          <t>correct</t>
        </is>
      </c>
      <c r="S298" t="inlineStr">
        <is>
          <t>matches_completely</t>
        </is>
      </c>
      <c r="T298" t="inlineStr">
        <is>
          <t>correct</t>
        </is>
      </c>
      <c r="U298">
        <f>IF(T298="correct",1,0)</f>
        <v/>
      </c>
      <c r="V298">
        <f>VLOOKUP(A298,Participants!$A$2:$B$86,2,FALSE)</f>
        <v/>
      </c>
    </row>
    <row r="299">
      <c r="A299" t="inlineStr">
        <is>
          <t>user_0105</t>
        </is>
      </c>
      <c r="B299" t="inlineStr">
        <is>
          <t>E5</t>
        </is>
      </c>
      <c r="C299" t="inlineStr">
        <is>
          <t>C1</t>
        </is>
      </c>
      <c r="D299" t="n">
        <v>3</v>
      </c>
      <c r="E299" t="inlineStr">
        <is>
          <t>2026-03-24T18:36:57.024965+00:00</t>
        </is>
      </c>
      <c r="F299" t="inlineStr">
        <is>
          <t>2026-03-24T18:36:57.053680+00:00</t>
        </is>
      </c>
      <c r="G299" t="n">
        <v>4</v>
      </c>
      <c r="H299" t="n">
        <v>476.86</v>
      </c>
      <c r="I299" t="n">
        <v>1</v>
      </c>
      <c r="J299" t="n">
        <v>1</v>
      </c>
      <c r="K299" t="n">
        <v>1</v>
      </c>
      <c r="M299" t="inlineStr">
        <is>
          <t>does_not_match</t>
        </is>
      </c>
      <c r="N299" t="n">
        <v>2</v>
      </c>
      <c r="O299" t="inlineStr">
        <is>
          <t>no</t>
        </is>
      </c>
      <c r="Q299" t="inlineStr">
        <is>
          <t>incorrect</t>
        </is>
      </c>
      <c r="R299" t="inlineStr">
        <is>
          <t>incorrect</t>
        </is>
      </c>
      <c r="S299" t="inlineStr">
        <is>
          <t>partially</t>
        </is>
      </c>
      <c r="T299" t="inlineStr">
        <is>
          <t>incorrect</t>
        </is>
      </c>
      <c r="U299">
        <f>IF(T299="correct",1,0)</f>
        <v/>
      </c>
      <c r="V299">
        <f>VLOOKUP(A299,Participants!$A$2:$B$86,2,FALSE)</f>
        <v/>
      </c>
    </row>
    <row r="300">
      <c r="A300" t="inlineStr">
        <is>
          <t>user_0105</t>
        </is>
      </c>
      <c r="B300" t="inlineStr">
        <is>
          <t>E4</t>
        </is>
      </c>
      <c r="C300" t="inlineStr">
        <is>
          <t>C2</t>
        </is>
      </c>
      <c r="D300" t="n">
        <v>4</v>
      </c>
      <c r="E300" t="inlineStr">
        <is>
          <t>2026-03-24T18:42:21.518434+00:00</t>
        </is>
      </c>
      <c r="F300" t="inlineStr">
        <is>
          <t>2026-03-24T18:42:21.538986+00:00</t>
        </is>
      </c>
      <c r="G300" t="n">
        <v>4</v>
      </c>
      <c r="H300" t="n">
        <v>122.59</v>
      </c>
      <c r="I300" t="n">
        <v>1</v>
      </c>
      <c r="J300" t="n">
        <v>1</v>
      </c>
      <c r="K300" t="n">
        <v>1</v>
      </c>
      <c r="M300" t="inlineStr">
        <is>
          <t>matches_completely</t>
        </is>
      </c>
      <c r="N300" t="n">
        <v>3</v>
      </c>
      <c r="O300" t="inlineStr">
        <is>
          <t>yes</t>
        </is>
      </c>
      <c r="Q300" t="inlineStr">
        <is>
          <t>correct</t>
        </is>
      </c>
      <c r="R300" t="inlineStr">
        <is>
          <t>correct</t>
        </is>
      </c>
      <c r="S300" t="inlineStr">
        <is>
          <t>matches_completely</t>
        </is>
      </c>
      <c r="T300" t="inlineStr">
        <is>
          <t>correct</t>
        </is>
      </c>
      <c r="U300">
        <f>IF(T300="correct",1,0)</f>
        <v/>
      </c>
      <c r="V300">
        <f>VLOOKUP(A300,Participants!$A$2:$B$86,2,FALSE)</f>
        <v/>
      </c>
    </row>
    <row r="301">
      <c r="A301" t="inlineStr">
        <is>
          <t>user_0105</t>
        </is>
      </c>
      <c r="B301" t="inlineStr">
        <is>
          <t>E6</t>
        </is>
      </c>
      <c r="C301" t="inlineStr">
        <is>
          <t>C3</t>
        </is>
      </c>
      <c r="D301" t="n">
        <v>5</v>
      </c>
      <c r="E301" t="inlineStr">
        <is>
          <t>2026-03-24T18:56:53.492411+00:00</t>
        </is>
      </c>
      <c r="F301" t="inlineStr">
        <is>
          <t>2026-03-24T18:56:53.514032+00:00</t>
        </is>
      </c>
      <c r="G301" t="n">
        <v>4</v>
      </c>
      <c r="H301" t="n">
        <v>102.89</v>
      </c>
      <c r="I301" t="n">
        <v>1</v>
      </c>
      <c r="J301" t="n">
        <v>1</v>
      </c>
      <c r="K301" t="n">
        <v>1</v>
      </c>
      <c r="M301" t="inlineStr">
        <is>
          <t>matches_completely</t>
        </is>
      </c>
      <c r="N301" t="n">
        <v>4</v>
      </c>
      <c r="O301" t="inlineStr">
        <is>
          <t>yes</t>
        </is>
      </c>
      <c r="Q301" t="inlineStr">
        <is>
          <t>correct</t>
        </is>
      </c>
      <c r="R301" t="inlineStr">
        <is>
          <t>correct</t>
        </is>
      </c>
      <c r="S301" t="inlineStr">
        <is>
          <t>matches_completely</t>
        </is>
      </c>
      <c r="T301" t="inlineStr">
        <is>
          <t>correct</t>
        </is>
      </c>
      <c r="U301">
        <f>IF(T301="correct",1,0)</f>
        <v/>
      </c>
      <c r="V301">
        <f>VLOOKUP(A301,Participants!$A$2:$B$86,2,FALSE)</f>
        <v/>
      </c>
    </row>
    <row r="302">
      <c r="A302" t="inlineStr">
        <is>
          <t>user_0106</t>
        </is>
      </c>
      <c r="B302" t="inlineStr">
        <is>
          <t>E2</t>
        </is>
      </c>
      <c r="C302" t="inlineStr">
        <is>
          <t>C1</t>
        </is>
      </c>
      <c r="D302" t="n">
        <v>0</v>
      </c>
      <c r="E302" t="inlineStr">
        <is>
          <t>2026-03-24T15:10:06.697903+00:00</t>
        </is>
      </c>
      <c r="F302" t="inlineStr">
        <is>
          <t>2026-03-24T15:10:06.722762+00:00</t>
        </is>
      </c>
      <c r="G302" t="n">
        <v>7</v>
      </c>
      <c r="H302" t="n">
        <v>648</v>
      </c>
      <c r="I302" t="n">
        <v>2</v>
      </c>
      <c r="J302" t="n">
        <v>1</v>
      </c>
      <c r="K302" t="n">
        <v>1</v>
      </c>
      <c r="M302" t="inlineStr">
        <is>
          <t>partially</t>
        </is>
      </c>
      <c r="N302" t="n">
        <v>4</v>
      </c>
      <c r="O302" t="inlineStr">
        <is>
          <t>no</t>
        </is>
      </c>
      <c r="Q302" t="inlineStr">
        <is>
          <t>correct</t>
        </is>
      </c>
      <c r="R302" t="inlineStr">
        <is>
          <t>correct</t>
        </is>
      </c>
      <c r="S302" t="inlineStr">
        <is>
          <t>does_not_match</t>
        </is>
      </c>
      <c r="T302" t="inlineStr">
        <is>
          <t>correct</t>
        </is>
      </c>
      <c r="U302">
        <f>IF(T302="correct",1,0)</f>
        <v/>
      </c>
      <c r="V302">
        <f>VLOOKUP(A302,Participants!$A$2:$B$86,2,FALSE)</f>
        <v/>
      </c>
    </row>
    <row r="303">
      <c r="A303" t="inlineStr">
        <is>
          <t>user_0106</t>
        </is>
      </c>
      <c r="B303" t="inlineStr">
        <is>
          <t>E1</t>
        </is>
      </c>
      <c r="C303" t="inlineStr">
        <is>
          <t>C2</t>
        </is>
      </c>
      <c r="D303" t="n">
        <v>1</v>
      </c>
      <c r="E303" t="inlineStr">
        <is>
          <t>2026-03-24T15:34:06.796280+00:00</t>
        </is>
      </c>
      <c r="F303" t="inlineStr">
        <is>
          <t>2026-03-24T15:34:06.822451+00:00</t>
        </is>
      </c>
      <c r="G303" t="n">
        <v>11</v>
      </c>
      <c r="H303" t="n">
        <v>1321.75</v>
      </c>
      <c r="I303" t="n">
        <v>3</v>
      </c>
      <c r="J303" t="n">
        <v>1</v>
      </c>
      <c r="K303" t="n">
        <v>1</v>
      </c>
      <c r="M303" t="inlineStr">
        <is>
          <t>partially</t>
        </is>
      </c>
      <c r="N303" t="n">
        <v>4</v>
      </c>
      <c r="O303" t="inlineStr">
        <is>
          <t>no</t>
        </is>
      </c>
      <c r="Q303" t="inlineStr">
        <is>
          <t>correct</t>
        </is>
      </c>
      <c r="R303" t="inlineStr">
        <is>
          <t>correct</t>
        </is>
      </c>
      <c r="S303" t="inlineStr">
        <is>
          <t>matches_completely</t>
        </is>
      </c>
      <c r="T303" t="inlineStr">
        <is>
          <t>correct</t>
        </is>
      </c>
      <c r="U303">
        <f>IF(T303="correct",1,0)</f>
        <v/>
      </c>
      <c r="V303">
        <f>VLOOKUP(A303,Participants!$A$2:$B$86,2,FALSE)</f>
        <v/>
      </c>
    </row>
    <row r="304">
      <c r="A304" t="inlineStr">
        <is>
          <t>user_0106</t>
        </is>
      </c>
      <c r="B304" t="inlineStr">
        <is>
          <t>E3</t>
        </is>
      </c>
      <c r="C304" t="inlineStr">
        <is>
          <t>C3</t>
        </is>
      </c>
      <c r="D304" t="n">
        <v>2</v>
      </c>
      <c r="E304" t="inlineStr">
        <is>
          <t>2026-03-24T15:56:26.103567+00:00</t>
        </is>
      </c>
      <c r="F304" t="inlineStr">
        <is>
          <t>2026-03-24T15:56:26.138882+00:00</t>
        </is>
      </c>
      <c r="G304" t="n">
        <v>4</v>
      </c>
      <c r="H304" t="n">
        <v>604.08</v>
      </c>
      <c r="I304" t="n">
        <v>1</v>
      </c>
      <c r="J304" t="n">
        <v>1</v>
      </c>
      <c r="K304" t="n">
        <v>1</v>
      </c>
      <c r="M304" t="inlineStr">
        <is>
          <t>matches_completely</t>
        </is>
      </c>
      <c r="N304" t="n">
        <v>3</v>
      </c>
      <c r="O304" t="inlineStr">
        <is>
          <t>yes</t>
        </is>
      </c>
      <c r="Q304" t="inlineStr">
        <is>
          <t>correct</t>
        </is>
      </c>
      <c r="R304" t="inlineStr">
        <is>
          <t>correct</t>
        </is>
      </c>
      <c r="S304" t="inlineStr">
        <is>
          <t>partially</t>
        </is>
      </c>
      <c r="T304" t="inlineStr">
        <is>
          <t>correct</t>
        </is>
      </c>
      <c r="U304">
        <f>IF(T304="correct",1,0)</f>
        <v/>
      </c>
      <c r="V304">
        <f>VLOOKUP(A304,Participants!$A$2:$B$86,2,FALSE)</f>
        <v/>
      </c>
    </row>
    <row r="305">
      <c r="A305" t="inlineStr">
        <is>
          <t>user_0106</t>
        </is>
      </c>
      <c r="B305" t="inlineStr">
        <is>
          <t>E5</t>
        </is>
      </c>
      <c r="C305" t="inlineStr">
        <is>
          <t>C1</t>
        </is>
      </c>
      <c r="D305" t="n">
        <v>3</v>
      </c>
      <c r="E305" t="inlineStr">
        <is>
          <t>2026-03-24T16:13:53.527051+00:00</t>
        </is>
      </c>
      <c r="F305" t="inlineStr">
        <is>
          <t>2026-03-24T16:13:53.550142+00:00</t>
        </is>
      </c>
      <c r="G305" t="n">
        <v>7</v>
      </c>
      <c r="H305" t="n">
        <v>226.58</v>
      </c>
      <c r="I305" t="n">
        <v>2</v>
      </c>
      <c r="J305" t="n">
        <v>1</v>
      </c>
      <c r="K305" t="n">
        <v>1</v>
      </c>
      <c r="M305" t="inlineStr">
        <is>
          <t>matches_completely</t>
        </is>
      </c>
      <c r="N305" t="n">
        <v>4</v>
      </c>
      <c r="O305" t="inlineStr">
        <is>
          <t>no</t>
        </is>
      </c>
      <c r="Q305" t="inlineStr">
        <is>
          <t>correct</t>
        </is>
      </c>
      <c r="R305" t="inlineStr">
        <is>
          <t>correct</t>
        </is>
      </c>
      <c r="S305" t="inlineStr">
        <is>
          <t>matches_completely</t>
        </is>
      </c>
      <c r="T305" t="inlineStr">
        <is>
          <t>correct</t>
        </is>
      </c>
      <c r="U305">
        <f>IF(T305="correct",1,0)</f>
        <v/>
      </c>
      <c r="V305">
        <f>VLOOKUP(A305,Participants!$A$2:$B$86,2,FALSE)</f>
        <v/>
      </c>
    </row>
    <row r="306">
      <c r="A306" t="inlineStr">
        <is>
          <t>user_0106</t>
        </is>
      </c>
      <c r="B306" t="inlineStr">
        <is>
          <t>E4</t>
        </is>
      </c>
      <c r="C306" t="inlineStr">
        <is>
          <t>C2</t>
        </is>
      </c>
      <c r="D306" t="n">
        <v>4</v>
      </c>
      <c r="E306" t="inlineStr">
        <is>
          <t>2026-03-24T17:02:09.111764+00:00</t>
        </is>
      </c>
      <c r="F306" t="inlineStr">
        <is>
          <t>2026-03-24T17:02:09.134947+00:00</t>
        </is>
      </c>
      <c r="G306" t="n">
        <v>10</v>
      </c>
      <c r="H306" t="n">
        <v>1087.77</v>
      </c>
      <c r="I306" t="n">
        <v>3</v>
      </c>
      <c r="J306" t="n">
        <v>1</v>
      </c>
      <c r="K306" t="n">
        <v>1</v>
      </c>
      <c r="M306" t="inlineStr">
        <is>
          <t>matches_completely</t>
        </is>
      </c>
      <c r="N306" t="n">
        <v>4</v>
      </c>
      <c r="O306" t="inlineStr">
        <is>
          <t>yes</t>
        </is>
      </c>
      <c r="Q306" t="inlineStr">
        <is>
          <t>correct</t>
        </is>
      </c>
      <c r="R306" t="inlineStr">
        <is>
          <t>correct</t>
        </is>
      </c>
      <c r="S306" t="inlineStr">
        <is>
          <t>matches_completely</t>
        </is>
      </c>
      <c r="T306" t="inlineStr">
        <is>
          <t>correct</t>
        </is>
      </c>
      <c r="U306">
        <f>IF(T306="correct",1,0)</f>
        <v/>
      </c>
      <c r="V306">
        <f>VLOOKUP(A306,Participants!$A$2:$B$86,2,FALSE)</f>
        <v/>
      </c>
    </row>
    <row r="307">
      <c r="A307" t="inlineStr">
        <is>
          <t>user_0106</t>
        </is>
      </c>
      <c r="B307" t="inlineStr">
        <is>
          <t>E6</t>
        </is>
      </c>
      <c r="C307" t="inlineStr">
        <is>
          <t>C3</t>
        </is>
      </c>
      <c r="D307" t="n">
        <v>5</v>
      </c>
      <c r="E307" t="inlineStr">
        <is>
          <t>2026-03-24T17:12:16.427511+00:00</t>
        </is>
      </c>
      <c r="F307" t="inlineStr">
        <is>
          <t>2026-03-24T17:12:16.460890+00:00</t>
        </is>
      </c>
      <c r="G307" t="n">
        <v>7</v>
      </c>
      <c r="H307" t="n">
        <v>396.17</v>
      </c>
      <c r="I307" t="n">
        <v>2</v>
      </c>
      <c r="J307" t="n">
        <v>1</v>
      </c>
      <c r="K307" t="n">
        <v>1</v>
      </c>
      <c r="M307" t="inlineStr">
        <is>
          <t>matches_completely</t>
        </is>
      </c>
      <c r="N307" t="n">
        <v>3</v>
      </c>
      <c r="O307" t="inlineStr">
        <is>
          <t>yes</t>
        </is>
      </c>
      <c r="Q307" t="inlineStr">
        <is>
          <t>correct</t>
        </is>
      </c>
      <c r="R307" t="inlineStr">
        <is>
          <t>correct</t>
        </is>
      </c>
      <c r="S307" t="inlineStr">
        <is>
          <t>matches_completely</t>
        </is>
      </c>
      <c r="T307" t="inlineStr">
        <is>
          <t>correct</t>
        </is>
      </c>
      <c r="U307">
        <f>IF(T307="correct",1,0)</f>
        <v/>
      </c>
      <c r="V307">
        <f>VLOOKUP(A307,Participants!$A$2:$B$86,2,FALSE)</f>
        <v/>
      </c>
    </row>
    <row r="308">
      <c r="A308" t="inlineStr">
        <is>
          <t>user_0107</t>
        </is>
      </c>
      <c r="B308" t="inlineStr">
        <is>
          <t>E2</t>
        </is>
      </c>
      <c r="C308" t="inlineStr">
        <is>
          <t>C1</t>
        </is>
      </c>
      <c r="D308" t="n">
        <v>0</v>
      </c>
      <c r="E308" t="inlineStr">
        <is>
          <t>2026-03-24T17:22:43.298872+00:00</t>
        </is>
      </c>
      <c r="F308" t="inlineStr">
        <is>
          <t>2026-03-24T17:22:43.317910+00:00</t>
        </is>
      </c>
      <c r="G308" t="n">
        <v>11</v>
      </c>
      <c r="H308" t="n">
        <v>447.75</v>
      </c>
      <c r="I308" t="n">
        <v>3</v>
      </c>
      <c r="J308" t="n">
        <v>1</v>
      </c>
      <c r="K308" t="n">
        <v>1</v>
      </c>
      <c r="M308" t="inlineStr">
        <is>
          <t>matches_completely</t>
        </is>
      </c>
      <c r="N308" t="n">
        <v>5</v>
      </c>
      <c r="O308" t="inlineStr">
        <is>
          <t>yes</t>
        </is>
      </c>
      <c r="Q308" t="inlineStr">
        <is>
          <t>correct</t>
        </is>
      </c>
      <c r="R308" t="inlineStr">
        <is>
          <t>correct</t>
        </is>
      </c>
      <c r="S308" t="inlineStr">
        <is>
          <t>does_not_match</t>
        </is>
      </c>
      <c r="T308" t="inlineStr">
        <is>
          <t>correct</t>
        </is>
      </c>
      <c r="U308">
        <f>IF(T308="correct",1,0)</f>
        <v/>
      </c>
      <c r="V308">
        <f>VLOOKUP(A308,Participants!$A$2:$B$86,2,FALSE)</f>
        <v/>
      </c>
    </row>
    <row r="309">
      <c r="A309" t="inlineStr">
        <is>
          <t>user_0107</t>
        </is>
      </c>
      <c r="B309" t="inlineStr">
        <is>
          <t>E1</t>
        </is>
      </c>
      <c r="C309" t="inlineStr">
        <is>
          <t>C2</t>
        </is>
      </c>
      <c r="D309" t="n">
        <v>1</v>
      </c>
      <c r="E309" t="inlineStr">
        <is>
          <t>2026-03-24T17:29:46.884742+00:00</t>
        </is>
      </c>
      <c r="F309" t="inlineStr">
        <is>
          <t>2026-03-24T17:29:46.905222+00:00</t>
        </is>
      </c>
      <c r="G309" t="n">
        <v>4</v>
      </c>
      <c r="H309" t="n">
        <v>335.12</v>
      </c>
      <c r="I309" t="n">
        <v>1</v>
      </c>
      <c r="J309" t="n">
        <v>1</v>
      </c>
      <c r="K309" t="n">
        <v>1</v>
      </c>
      <c r="M309" t="inlineStr">
        <is>
          <t>matches_completely</t>
        </is>
      </c>
      <c r="N309" t="n">
        <v>5</v>
      </c>
      <c r="O309" t="inlineStr">
        <is>
          <t>yes</t>
        </is>
      </c>
      <c r="Q309" t="inlineStr">
        <is>
          <t>correct</t>
        </is>
      </c>
      <c r="R309" t="inlineStr">
        <is>
          <t>correct</t>
        </is>
      </c>
      <c r="S309" t="inlineStr">
        <is>
          <t>matches_completely</t>
        </is>
      </c>
      <c r="T309" t="inlineStr">
        <is>
          <t>correct</t>
        </is>
      </c>
      <c r="U309">
        <f>IF(T309="correct",1,0)</f>
        <v/>
      </c>
      <c r="V309">
        <f>VLOOKUP(A309,Participants!$A$2:$B$86,2,FALSE)</f>
        <v/>
      </c>
    </row>
    <row r="310">
      <c r="A310" t="inlineStr">
        <is>
          <t>user_0107</t>
        </is>
      </c>
      <c r="B310" t="inlineStr">
        <is>
          <t>E3</t>
        </is>
      </c>
      <c r="C310" t="inlineStr">
        <is>
          <t>C3</t>
        </is>
      </c>
      <c r="D310" t="n">
        <v>2</v>
      </c>
      <c r="E310" t="inlineStr">
        <is>
          <t>2026-03-24T17:45:04.658384+00:00</t>
        </is>
      </c>
      <c r="F310" t="inlineStr">
        <is>
          <t>2026-03-24T17:45:04.682802+00:00</t>
        </is>
      </c>
      <c r="G310" t="n">
        <v>10</v>
      </c>
      <c r="H310" t="n">
        <v>424.58</v>
      </c>
      <c r="I310" t="n">
        <v>3</v>
      </c>
      <c r="J310" t="n">
        <v>1</v>
      </c>
      <c r="K310" t="n">
        <v>1</v>
      </c>
      <c r="M310" t="inlineStr">
        <is>
          <t>matches_completely</t>
        </is>
      </c>
      <c r="N310" t="n">
        <v>5</v>
      </c>
      <c r="O310" t="inlineStr">
        <is>
          <t>yes</t>
        </is>
      </c>
      <c r="Q310" t="inlineStr">
        <is>
          <t>correct</t>
        </is>
      </c>
      <c r="R310" t="inlineStr">
        <is>
          <t>correct</t>
        </is>
      </c>
      <c r="S310" t="inlineStr">
        <is>
          <t>matches_completely</t>
        </is>
      </c>
      <c r="T310" t="inlineStr">
        <is>
          <t>correct</t>
        </is>
      </c>
      <c r="U310">
        <f>IF(T310="correct",1,0)</f>
        <v/>
      </c>
      <c r="V310">
        <f>VLOOKUP(A310,Participants!$A$2:$B$86,2,FALSE)</f>
        <v/>
      </c>
    </row>
    <row r="311">
      <c r="A311" t="inlineStr">
        <is>
          <t>user_0107</t>
        </is>
      </c>
      <c r="B311" t="inlineStr">
        <is>
          <t>E5</t>
        </is>
      </c>
      <c r="C311" t="inlineStr">
        <is>
          <t>C1</t>
        </is>
      </c>
      <c r="D311" t="n">
        <v>3</v>
      </c>
      <c r="E311" t="inlineStr">
        <is>
          <t>2026-03-24T17:56:54.099207+00:00</t>
        </is>
      </c>
      <c r="F311" t="inlineStr">
        <is>
          <t>2026-03-24T17:56:54.120951+00:00</t>
        </is>
      </c>
      <c r="G311" t="n">
        <v>7</v>
      </c>
      <c r="H311" t="n">
        <v>473.61</v>
      </c>
      <c r="I311" t="n">
        <v>2</v>
      </c>
      <c r="J311" t="n">
        <v>1</v>
      </c>
      <c r="K311" t="n">
        <v>1</v>
      </c>
      <c r="M311" t="inlineStr">
        <is>
          <t>partially</t>
        </is>
      </c>
      <c r="N311" t="n">
        <v>4</v>
      </c>
      <c r="O311" t="inlineStr">
        <is>
          <t>yes</t>
        </is>
      </c>
      <c r="Q311" t="inlineStr">
        <is>
          <t>incorrect</t>
        </is>
      </c>
      <c r="R311" t="inlineStr">
        <is>
          <t>correct</t>
        </is>
      </c>
      <c r="S311" t="inlineStr">
        <is>
          <t>matches_completely</t>
        </is>
      </c>
      <c r="T311" t="inlineStr">
        <is>
          <t>incorrect</t>
        </is>
      </c>
      <c r="U311">
        <f>IF(T311="correct",1,0)</f>
        <v/>
      </c>
      <c r="V311">
        <f>VLOOKUP(A311,Participants!$A$2:$B$86,2,FALSE)</f>
        <v/>
      </c>
    </row>
    <row r="312">
      <c r="A312" t="inlineStr">
        <is>
          <t>user_0107</t>
        </is>
      </c>
      <c r="B312" t="inlineStr">
        <is>
          <t>E4</t>
        </is>
      </c>
      <c r="C312" t="inlineStr">
        <is>
          <t>C2</t>
        </is>
      </c>
      <c r="D312" t="n">
        <v>4</v>
      </c>
      <c r="E312" t="inlineStr">
        <is>
          <t>2026-03-24T18:01:33.535229+00:00</t>
        </is>
      </c>
      <c r="F312" t="inlineStr">
        <is>
          <t>2026-03-24T18:01:33.555748+00:00</t>
        </is>
      </c>
      <c r="G312" t="n">
        <v>4</v>
      </c>
      <c r="H312" t="n">
        <v>177.3</v>
      </c>
      <c r="I312" t="n">
        <v>1</v>
      </c>
      <c r="J312" t="n">
        <v>1</v>
      </c>
      <c r="K312" t="n">
        <v>1</v>
      </c>
      <c r="M312" t="inlineStr">
        <is>
          <t>matches_completely</t>
        </is>
      </c>
      <c r="N312" t="n">
        <v>5</v>
      </c>
      <c r="O312" t="inlineStr">
        <is>
          <t>yes</t>
        </is>
      </c>
      <c r="Q312" t="inlineStr">
        <is>
          <t>correct</t>
        </is>
      </c>
      <c r="R312" t="inlineStr">
        <is>
          <t>correct</t>
        </is>
      </c>
      <c r="S312" t="inlineStr">
        <is>
          <t>partially</t>
        </is>
      </c>
      <c r="T312" t="inlineStr">
        <is>
          <t>correct</t>
        </is>
      </c>
      <c r="U312">
        <f>IF(T312="correct",1,0)</f>
        <v/>
      </c>
      <c r="V312">
        <f>VLOOKUP(A312,Participants!$A$2:$B$86,2,FALSE)</f>
        <v/>
      </c>
    </row>
    <row r="313">
      <c r="A313" t="inlineStr">
        <is>
          <t>user_0107</t>
        </is>
      </c>
      <c r="B313" t="inlineStr">
        <is>
          <t>E6</t>
        </is>
      </c>
      <c r="C313" t="inlineStr">
        <is>
          <t>C3</t>
        </is>
      </c>
      <c r="D313" t="n">
        <v>5</v>
      </c>
      <c r="E313" t="inlineStr">
        <is>
          <t>2026-03-24T18:04:24.478056+00:00</t>
        </is>
      </c>
      <c r="F313" t="inlineStr">
        <is>
          <t>2026-03-24T18:04:24.494999+00:00</t>
        </is>
      </c>
      <c r="G313" t="n">
        <v>4</v>
      </c>
      <c r="H313" t="n">
        <v>114.39</v>
      </c>
      <c r="I313" t="n">
        <v>1</v>
      </c>
      <c r="J313" t="n">
        <v>1</v>
      </c>
      <c r="K313" t="n">
        <v>1</v>
      </c>
      <c r="M313" t="inlineStr">
        <is>
          <t>matches_completely</t>
        </is>
      </c>
      <c r="N313" t="n">
        <v>5</v>
      </c>
      <c r="O313" t="inlineStr">
        <is>
          <t>yes</t>
        </is>
      </c>
      <c r="Q313" t="inlineStr">
        <is>
          <t>correct</t>
        </is>
      </c>
      <c r="R313" t="inlineStr">
        <is>
          <t>correct</t>
        </is>
      </c>
      <c r="S313" t="inlineStr">
        <is>
          <t>matches_completely</t>
        </is>
      </c>
      <c r="T313" t="inlineStr">
        <is>
          <t>correct</t>
        </is>
      </c>
      <c r="U313">
        <f>IF(T313="correct",1,0)</f>
        <v/>
      </c>
      <c r="V313">
        <f>VLOOKUP(A313,Participants!$A$2:$B$86,2,FALSE)</f>
        <v/>
      </c>
    </row>
    <row r="314">
      <c r="A314" t="inlineStr">
        <is>
          <t>user_0108</t>
        </is>
      </c>
      <c r="B314" t="inlineStr">
        <is>
          <t>E2</t>
        </is>
      </c>
      <c r="C314" t="inlineStr">
        <is>
          <t>C1</t>
        </is>
      </c>
      <c r="D314" t="n">
        <v>0</v>
      </c>
      <c r="E314" t="inlineStr">
        <is>
          <t>2026-03-24T17:08:58.636763+00:00</t>
        </is>
      </c>
      <c r="F314" t="inlineStr">
        <is>
          <t>2026-03-24T17:08:58.662656+00:00</t>
        </is>
      </c>
      <c r="G314" t="n">
        <v>7</v>
      </c>
      <c r="H314" t="n">
        <v>829.25</v>
      </c>
      <c r="I314" t="n">
        <v>2</v>
      </c>
      <c r="J314" t="n">
        <v>1</v>
      </c>
      <c r="K314" t="n">
        <v>1</v>
      </c>
      <c r="M314" t="inlineStr">
        <is>
          <t>matches_completely</t>
        </is>
      </c>
      <c r="N314" t="n">
        <v>5</v>
      </c>
      <c r="O314" t="inlineStr">
        <is>
          <t>yes</t>
        </is>
      </c>
      <c r="Q314" t="inlineStr">
        <is>
          <t>correct</t>
        </is>
      </c>
      <c r="R314" t="inlineStr">
        <is>
          <t>correct</t>
        </is>
      </c>
      <c r="S314" t="inlineStr">
        <is>
          <t>does_not_match</t>
        </is>
      </c>
      <c r="T314" t="inlineStr">
        <is>
          <t>correct</t>
        </is>
      </c>
      <c r="U314">
        <f>IF(T314="correct",1,0)</f>
        <v/>
      </c>
      <c r="V314">
        <f>VLOOKUP(A314,Participants!$A$2:$B$86,2,FALSE)</f>
        <v/>
      </c>
    </row>
    <row r="315">
      <c r="A315" t="inlineStr">
        <is>
          <t>user_0108</t>
        </is>
      </c>
      <c r="B315" t="inlineStr">
        <is>
          <t>E1</t>
        </is>
      </c>
      <c r="C315" t="inlineStr">
        <is>
          <t>C2</t>
        </is>
      </c>
      <c r="D315" t="n">
        <v>1</v>
      </c>
      <c r="E315" t="inlineStr">
        <is>
          <t>2026-03-24T17:13:15.606994+00:00</t>
        </is>
      </c>
      <c r="F315" t="inlineStr">
        <is>
          <t>2026-03-24T17:13:15.633045+00:00</t>
        </is>
      </c>
      <c r="G315" t="n">
        <v>4</v>
      </c>
      <c r="H315" t="n">
        <v>119.94</v>
      </c>
      <c r="I315" t="n">
        <v>1</v>
      </c>
      <c r="J315" t="n">
        <v>1</v>
      </c>
      <c r="K315" t="n">
        <v>1</v>
      </c>
      <c r="M315" t="inlineStr">
        <is>
          <t>matches_completely</t>
        </is>
      </c>
      <c r="N315" t="n">
        <v>5</v>
      </c>
      <c r="O315" t="inlineStr">
        <is>
          <t>yes</t>
        </is>
      </c>
      <c r="Q315" t="inlineStr">
        <is>
          <t>correct</t>
        </is>
      </c>
      <c r="R315" t="inlineStr">
        <is>
          <t>correct</t>
        </is>
      </c>
      <c r="S315" t="inlineStr">
        <is>
          <t>matches_completely</t>
        </is>
      </c>
      <c r="T315" t="inlineStr">
        <is>
          <t>correct</t>
        </is>
      </c>
      <c r="U315">
        <f>IF(T315="correct",1,0)</f>
        <v/>
      </c>
      <c r="V315">
        <f>VLOOKUP(A315,Participants!$A$2:$B$86,2,FALSE)</f>
        <v/>
      </c>
    </row>
    <row r="316">
      <c r="A316" t="inlineStr">
        <is>
          <t>user_0108</t>
        </is>
      </c>
      <c r="B316" t="inlineStr">
        <is>
          <t>E3</t>
        </is>
      </c>
      <c r="C316" t="inlineStr">
        <is>
          <t>C3</t>
        </is>
      </c>
      <c r="D316" t="n">
        <v>2</v>
      </c>
      <c r="E316" t="inlineStr">
        <is>
          <t>2026-03-24T17:25:56.667471+00:00</t>
        </is>
      </c>
      <c r="F316" t="inlineStr">
        <is>
          <t>2026-03-24T17:25:56.692148+00:00</t>
        </is>
      </c>
      <c r="G316" t="n">
        <v>10</v>
      </c>
      <c r="H316" t="n">
        <v>730.17</v>
      </c>
      <c r="I316" t="n">
        <v>1</v>
      </c>
      <c r="J316" t="n">
        <v>1</v>
      </c>
      <c r="K316" t="n">
        <v>1</v>
      </c>
      <c r="M316" t="inlineStr">
        <is>
          <t>partially</t>
        </is>
      </c>
      <c r="N316" t="n">
        <v>5</v>
      </c>
      <c r="O316" t="inlineStr">
        <is>
          <t>no</t>
        </is>
      </c>
      <c r="Q316" t="inlineStr">
        <is>
          <t>correct</t>
        </is>
      </c>
      <c r="R316" t="inlineStr">
        <is>
          <t>correct</t>
        </is>
      </c>
      <c r="S316" t="inlineStr">
        <is>
          <t>matches_completely</t>
        </is>
      </c>
      <c r="T316" t="inlineStr">
        <is>
          <t>correct</t>
        </is>
      </c>
      <c r="U316">
        <f>IF(T316="correct",1,0)</f>
        <v/>
      </c>
      <c r="V316">
        <f>VLOOKUP(A316,Participants!$A$2:$B$86,2,FALSE)</f>
        <v/>
      </c>
    </row>
    <row r="317">
      <c r="A317" t="inlineStr">
        <is>
          <t>user_0108</t>
        </is>
      </c>
      <c r="B317" t="inlineStr">
        <is>
          <t>E5</t>
        </is>
      </c>
      <c r="C317" t="inlineStr">
        <is>
          <t>C1</t>
        </is>
      </c>
      <c r="D317" t="n">
        <v>3</v>
      </c>
      <c r="E317" t="inlineStr">
        <is>
          <t>2026-03-24T17:29:26.785734+00:00</t>
        </is>
      </c>
      <c r="F317" t="inlineStr">
        <is>
          <t>2026-03-24T17:29:26.807819+00:00</t>
        </is>
      </c>
      <c r="G317" t="n">
        <v>4</v>
      </c>
      <c r="H317" t="n">
        <v>44.66</v>
      </c>
      <c r="I317" t="n">
        <v>1</v>
      </c>
      <c r="J317" t="n">
        <v>1</v>
      </c>
      <c r="K317" t="n">
        <v>1</v>
      </c>
      <c r="M317" t="inlineStr">
        <is>
          <t>matches_completely</t>
        </is>
      </c>
      <c r="N317" t="n">
        <v>5</v>
      </c>
      <c r="O317" t="inlineStr">
        <is>
          <t>yes</t>
        </is>
      </c>
      <c r="Q317" t="inlineStr">
        <is>
          <t>correct</t>
        </is>
      </c>
      <c r="R317" t="inlineStr">
        <is>
          <t>correct</t>
        </is>
      </c>
      <c r="S317" t="inlineStr">
        <is>
          <t>matches_completely</t>
        </is>
      </c>
      <c r="T317" t="inlineStr">
        <is>
          <t>correct</t>
        </is>
      </c>
      <c r="U317">
        <f>IF(T317="correct",1,0)</f>
        <v/>
      </c>
      <c r="V317">
        <f>VLOOKUP(A317,Participants!$A$2:$B$86,2,FALSE)</f>
        <v/>
      </c>
    </row>
    <row r="318">
      <c r="A318" t="inlineStr">
        <is>
          <t>user_0108</t>
        </is>
      </c>
      <c r="B318" t="inlineStr">
        <is>
          <t>E4</t>
        </is>
      </c>
      <c r="C318" t="inlineStr">
        <is>
          <t>C2</t>
        </is>
      </c>
      <c r="D318" t="n">
        <v>4</v>
      </c>
      <c r="E318" t="inlineStr">
        <is>
          <t>2026-03-24T17:32:46.417376+00:00</t>
        </is>
      </c>
      <c r="F318" t="inlineStr">
        <is>
          <t>2026-03-24T17:32:46.437790+00:00</t>
        </is>
      </c>
      <c r="G318" t="n">
        <v>4</v>
      </c>
      <c r="H318" t="n">
        <v>176.11</v>
      </c>
      <c r="I318" t="n">
        <v>1</v>
      </c>
      <c r="J318" t="n">
        <v>1</v>
      </c>
      <c r="K318" t="n">
        <v>1</v>
      </c>
      <c r="M318" t="inlineStr">
        <is>
          <t>matches_completely</t>
        </is>
      </c>
      <c r="N318" t="n">
        <v>4</v>
      </c>
      <c r="O318" t="inlineStr">
        <is>
          <t>yes</t>
        </is>
      </c>
      <c r="Q318" t="inlineStr">
        <is>
          <t>correct</t>
        </is>
      </c>
      <c r="R318" t="inlineStr">
        <is>
          <t>correct</t>
        </is>
      </c>
      <c r="S318" t="inlineStr">
        <is>
          <t>partially</t>
        </is>
      </c>
      <c r="T318" t="inlineStr">
        <is>
          <t>correct</t>
        </is>
      </c>
      <c r="U318">
        <f>IF(T318="correct",1,0)</f>
        <v/>
      </c>
      <c r="V318">
        <f>VLOOKUP(A318,Participants!$A$2:$B$86,2,FALSE)</f>
        <v/>
      </c>
    </row>
    <row r="319">
      <c r="A319" t="inlineStr">
        <is>
          <t>user_0108</t>
        </is>
      </c>
      <c r="B319" t="inlineStr">
        <is>
          <t>E6</t>
        </is>
      </c>
      <c r="C319" t="inlineStr">
        <is>
          <t>C3</t>
        </is>
      </c>
      <c r="D319" t="n">
        <v>5</v>
      </c>
      <c r="E319" t="inlineStr">
        <is>
          <t>2026-03-24T17:36:15.388353+00:00</t>
        </is>
      </c>
      <c r="F319" t="inlineStr">
        <is>
          <t>2026-03-24T17:36:15.406582+00:00</t>
        </is>
      </c>
      <c r="G319" t="n">
        <v>4</v>
      </c>
      <c r="H319" t="n">
        <v>189.8</v>
      </c>
      <c r="I319" t="n">
        <v>1</v>
      </c>
      <c r="J319" t="n">
        <v>1</v>
      </c>
      <c r="K319" t="n">
        <v>1</v>
      </c>
      <c r="M319" t="inlineStr">
        <is>
          <t>matches_completely</t>
        </is>
      </c>
      <c r="N319" t="n">
        <v>4</v>
      </c>
      <c r="O319" t="inlineStr">
        <is>
          <t>yes</t>
        </is>
      </c>
      <c r="Q319" t="inlineStr">
        <is>
          <t>correct</t>
        </is>
      </c>
      <c r="R319" t="inlineStr">
        <is>
          <t>correct</t>
        </is>
      </c>
      <c r="S319" t="inlineStr">
        <is>
          <t>matches_completely</t>
        </is>
      </c>
      <c r="T319" t="inlineStr">
        <is>
          <t>correct</t>
        </is>
      </c>
      <c r="U319">
        <f>IF(T319="correct",1,0)</f>
        <v/>
      </c>
      <c r="V319">
        <f>VLOOKUP(A319,Participants!$A$2:$B$86,2,FALSE)</f>
        <v/>
      </c>
    </row>
    <row r="320">
      <c r="A320" t="inlineStr">
        <is>
          <t>user_0109</t>
        </is>
      </c>
      <c r="B320" t="inlineStr">
        <is>
          <t>E2</t>
        </is>
      </c>
      <c r="C320" t="inlineStr">
        <is>
          <t>C1</t>
        </is>
      </c>
      <c r="D320" t="n">
        <v>0</v>
      </c>
      <c r="E320" t="inlineStr">
        <is>
          <t>2026-03-24T15:19:42.005180+00:00</t>
        </is>
      </c>
      <c r="F320" t="inlineStr">
        <is>
          <t>2026-03-24T15:19:42.031272+00:00</t>
        </is>
      </c>
      <c r="G320" t="n">
        <v>4</v>
      </c>
      <c r="H320" t="n">
        <v>397.72</v>
      </c>
      <c r="I320" t="n">
        <v>1</v>
      </c>
      <c r="J320" t="n">
        <v>1</v>
      </c>
      <c r="K320" t="n">
        <v>1</v>
      </c>
      <c r="M320" t="inlineStr">
        <is>
          <t>matches_completely</t>
        </is>
      </c>
      <c r="N320" t="n">
        <v>5</v>
      </c>
      <c r="O320" t="inlineStr">
        <is>
          <t>yes</t>
        </is>
      </c>
      <c r="Q320" t="inlineStr">
        <is>
          <t>correct</t>
        </is>
      </c>
      <c r="R320" t="inlineStr">
        <is>
          <t>correct</t>
        </is>
      </c>
      <c r="S320" t="inlineStr">
        <is>
          <t>matches_completely</t>
        </is>
      </c>
      <c r="T320" t="inlineStr">
        <is>
          <t>correct</t>
        </is>
      </c>
      <c r="U320">
        <f>IF(T320="correct",1,0)</f>
        <v/>
      </c>
      <c r="V320">
        <f>VLOOKUP(A320,Participants!$A$2:$B$86,2,FALSE)</f>
        <v/>
      </c>
    </row>
    <row r="321">
      <c r="A321" t="inlineStr">
        <is>
          <t>user_0109</t>
        </is>
      </c>
      <c r="B321" t="inlineStr">
        <is>
          <t>E1</t>
        </is>
      </c>
      <c r="C321" t="inlineStr">
        <is>
          <t>C2</t>
        </is>
      </c>
      <c r="D321" t="n">
        <v>1</v>
      </c>
      <c r="E321" t="inlineStr">
        <is>
          <t>2026-03-24T15:40:52.438423+00:00</t>
        </is>
      </c>
      <c r="F321" t="inlineStr">
        <is>
          <t>2026-03-24T15:40:52.464835+00:00</t>
        </is>
      </c>
      <c r="G321" t="n">
        <v>7</v>
      </c>
      <c r="H321" t="n">
        <v>854.23</v>
      </c>
      <c r="I321" t="n">
        <v>2</v>
      </c>
      <c r="J321" t="n">
        <v>1</v>
      </c>
      <c r="K321" t="n">
        <v>1</v>
      </c>
      <c r="M321" t="inlineStr">
        <is>
          <t>matches_completely</t>
        </is>
      </c>
      <c r="N321" t="n">
        <v>4</v>
      </c>
      <c r="O321" t="inlineStr">
        <is>
          <t>yes</t>
        </is>
      </c>
      <c r="Q321" t="inlineStr">
        <is>
          <t>correct</t>
        </is>
      </c>
      <c r="R321" t="inlineStr">
        <is>
          <t>correct</t>
        </is>
      </c>
      <c r="S321" t="inlineStr">
        <is>
          <t>matches_completely</t>
        </is>
      </c>
      <c r="T321" t="inlineStr">
        <is>
          <t>correct</t>
        </is>
      </c>
      <c r="U321">
        <f>IF(T321="correct",1,0)</f>
        <v/>
      </c>
      <c r="V321">
        <f>VLOOKUP(A321,Participants!$A$2:$B$86,2,FALSE)</f>
        <v/>
      </c>
    </row>
    <row r="322">
      <c r="A322" t="inlineStr">
        <is>
          <t>user_0109</t>
        </is>
      </c>
      <c r="B322" t="inlineStr">
        <is>
          <t>E3</t>
        </is>
      </c>
      <c r="C322" t="inlineStr">
        <is>
          <t>C3</t>
        </is>
      </c>
      <c r="D322" t="n">
        <v>2</v>
      </c>
      <c r="E322" t="inlineStr">
        <is>
          <t>2026-03-24T16:05:59.260381+00:00</t>
        </is>
      </c>
      <c r="F322" t="inlineStr">
        <is>
          <t>2026-03-24T16:05:59.285984+00:00</t>
        </is>
      </c>
      <c r="G322" t="n">
        <v>7</v>
      </c>
      <c r="H322" t="n">
        <v>571.83</v>
      </c>
      <c r="I322" t="n">
        <v>2</v>
      </c>
      <c r="J322" t="n">
        <v>1</v>
      </c>
      <c r="K322" t="n">
        <v>1</v>
      </c>
      <c r="M322" t="inlineStr">
        <is>
          <t>matches_completely</t>
        </is>
      </c>
      <c r="N322" t="n">
        <v>4</v>
      </c>
      <c r="O322" t="inlineStr">
        <is>
          <t>yes</t>
        </is>
      </c>
      <c r="Q322" t="inlineStr">
        <is>
          <t>correct</t>
        </is>
      </c>
      <c r="R322" t="inlineStr">
        <is>
          <t>correct</t>
        </is>
      </c>
      <c r="S322" t="inlineStr">
        <is>
          <t>matches_completely</t>
        </is>
      </c>
      <c r="T322" t="inlineStr">
        <is>
          <t>correct</t>
        </is>
      </c>
      <c r="U322">
        <f>IF(T322="correct",1,0)</f>
        <v/>
      </c>
      <c r="V322">
        <f>VLOOKUP(A322,Participants!$A$2:$B$86,2,FALSE)</f>
        <v/>
      </c>
    </row>
    <row r="323">
      <c r="A323" t="inlineStr">
        <is>
          <t>user_0109</t>
        </is>
      </c>
      <c r="B323" t="inlineStr">
        <is>
          <t>E5</t>
        </is>
      </c>
      <c r="C323" t="inlineStr">
        <is>
          <t>C1</t>
        </is>
      </c>
      <c r="D323" t="n">
        <v>3</v>
      </c>
      <c r="E323" t="inlineStr">
        <is>
          <t>2026-03-24T16:22:22.769418+00:00</t>
        </is>
      </c>
      <c r="F323" t="inlineStr">
        <is>
          <t>2026-03-24T16:22:22.794499+00:00</t>
        </is>
      </c>
      <c r="G323" t="n">
        <v>4</v>
      </c>
      <c r="H323" t="n">
        <v>314.47</v>
      </c>
      <c r="I323" t="n">
        <v>1</v>
      </c>
      <c r="J323" t="n">
        <v>1</v>
      </c>
      <c r="K323" t="n">
        <v>1</v>
      </c>
      <c r="M323" t="inlineStr">
        <is>
          <t>matches_completely</t>
        </is>
      </c>
      <c r="N323" t="n">
        <v>5</v>
      </c>
      <c r="O323" t="inlineStr">
        <is>
          <t>yes</t>
        </is>
      </c>
      <c r="Q323" t="inlineStr">
        <is>
          <t>correct</t>
        </is>
      </c>
      <c r="R323" t="inlineStr">
        <is>
          <t>correct</t>
        </is>
      </c>
      <c r="S323" t="inlineStr">
        <is>
          <t>matches_completely</t>
        </is>
      </c>
      <c r="T323" t="inlineStr">
        <is>
          <t>correct</t>
        </is>
      </c>
      <c r="U323">
        <f>IF(T323="correct",1,0)</f>
        <v/>
      </c>
      <c r="V323">
        <f>VLOOKUP(A323,Participants!$A$2:$B$86,2,FALSE)</f>
        <v/>
      </c>
    </row>
    <row r="324">
      <c r="A324" t="inlineStr">
        <is>
          <t>user_0109</t>
        </is>
      </c>
      <c r="B324" t="inlineStr">
        <is>
          <t>E4</t>
        </is>
      </c>
      <c r="C324" t="inlineStr">
        <is>
          <t>C2</t>
        </is>
      </c>
      <c r="D324" t="n">
        <v>4</v>
      </c>
      <c r="E324" t="inlineStr">
        <is>
          <t>2026-03-24T16:35:48.142388+00:00</t>
        </is>
      </c>
      <c r="F324" t="inlineStr">
        <is>
          <t>2026-03-24T16:35:48.162033+00:00</t>
        </is>
      </c>
      <c r="G324" t="n">
        <v>4</v>
      </c>
      <c r="H324" t="n">
        <v>328.14</v>
      </c>
      <c r="I324" t="n">
        <v>1</v>
      </c>
      <c r="J324" t="n">
        <v>1</v>
      </c>
      <c r="K324" t="n">
        <v>1</v>
      </c>
      <c r="M324" t="inlineStr">
        <is>
          <t>partially</t>
        </is>
      </c>
      <c r="N324" t="n">
        <v>3</v>
      </c>
      <c r="O324" t="inlineStr">
        <is>
          <t>yes</t>
        </is>
      </c>
      <c r="Q324" t="inlineStr">
        <is>
          <t>correct</t>
        </is>
      </c>
      <c r="R324" t="inlineStr">
        <is>
          <t>correct</t>
        </is>
      </c>
      <c r="S324" t="inlineStr">
        <is>
          <t>partially</t>
        </is>
      </c>
      <c r="T324" t="inlineStr">
        <is>
          <t>correct</t>
        </is>
      </c>
      <c r="U324">
        <f>IF(T324="correct",1,0)</f>
        <v/>
      </c>
      <c r="V324">
        <f>VLOOKUP(A324,Participants!$A$2:$B$86,2,FALSE)</f>
        <v/>
      </c>
    </row>
    <row r="325">
      <c r="A325" t="inlineStr">
        <is>
          <t>user_0109</t>
        </is>
      </c>
      <c r="B325" t="inlineStr">
        <is>
          <t>E6</t>
        </is>
      </c>
      <c r="C325" t="inlineStr">
        <is>
          <t>C3</t>
        </is>
      </c>
      <c r="D325" t="n">
        <v>5</v>
      </c>
      <c r="E325" t="inlineStr">
        <is>
          <t>2026-03-24T17:00:17.659400+00:00</t>
        </is>
      </c>
      <c r="F325" t="inlineStr">
        <is>
          <t>2026-03-24T17:00:17.681144+00:00</t>
        </is>
      </c>
      <c r="G325" t="n">
        <v>4</v>
      </c>
      <c r="H325" t="n">
        <v>1033.06</v>
      </c>
      <c r="I325" t="n">
        <v>1</v>
      </c>
      <c r="J325" t="n">
        <v>1</v>
      </c>
      <c r="K325" t="n">
        <v>1</v>
      </c>
      <c r="M325" t="inlineStr">
        <is>
          <t>partially</t>
        </is>
      </c>
      <c r="N325" t="n">
        <v>5</v>
      </c>
      <c r="O325" t="inlineStr">
        <is>
          <t>yes</t>
        </is>
      </c>
      <c r="Q325" t="inlineStr">
        <is>
          <t>correct</t>
        </is>
      </c>
      <c r="R325" t="inlineStr">
        <is>
          <t>correct</t>
        </is>
      </c>
      <c r="S325" t="inlineStr">
        <is>
          <t>matches_completely</t>
        </is>
      </c>
      <c r="T325" t="inlineStr">
        <is>
          <t>correct</t>
        </is>
      </c>
      <c r="U325">
        <f>IF(T325="correct",1,0)</f>
        <v/>
      </c>
      <c r="V325">
        <f>VLOOKUP(A325,Participants!$A$2:$B$86,2,FALSE)</f>
        <v/>
      </c>
    </row>
    <row r="326">
      <c r="A326" t="inlineStr">
        <is>
          <t>user_0110</t>
        </is>
      </c>
      <c r="B326" t="inlineStr">
        <is>
          <t>E2</t>
        </is>
      </c>
      <c r="C326" t="inlineStr">
        <is>
          <t>C1</t>
        </is>
      </c>
      <c r="D326" t="n">
        <v>0</v>
      </c>
      <c r="E326" t="inlineStr">
        <is>
          <t>2026-03-24T15:52:13.724868+00:00</t>
        </is>
      </c>
      <c r="F326" t="inlineStr">
        <is>
          <t>2026-03-24T15:52:13.749169+00:00</t>
        </is>
      </c>
      <c r="G326" t="n">
        <v>4</v>
      </c>
      <c r="H326" t="n">
        <v>400.42</v>
      </c>
      <c r="I326" t="n">
        <v>1</v>
      </c>
      <c r="J326" t="n">
        <v>1</v>
      </c>
      <c r="K326" t="n">
        <v>1</v>
      </c>
      <c r="M326" t="inlineStr">
        <is>
          <t>matches_completely</t>
        </is>
      </c>
      <c r="N326" t="n">
        <v>4</v>
      </c>
      <c r="O326" t="inlineStr">
        <is>
          <t>yes</t>
        </is>
      </c>
      <c r="Q326" t="inlineStr">
        <is>
          <t>correct</t>
        </is>
      </c>
      <c r="R326" t="inlineStr">
        <is>
          <t>correct</t>
        </is>
      </c>
      <c r="S326" t="inlineStr">
        <is>
          <t>matches_completely</t>
        </is>
      </c>
      <c r="T326" t="inlineStr">
        <is>
          <t>correct</t>
        </is>
      </c>
      <c r="U326">
        <f>IF(T326="correct",1,0)</f>
        <v/>
      </c>
      <c r="V326">
        <f>VLOOKUP(A326,Participants!$A$2:$B$86,2,FALSE)</f>
        <v/>
      </c>
    </row>
    <row r="327">
      <c r="A327" t="inlineStr">
        <is>
          <t>user_0110</t>
        </is>
      </c>
      <c r="B327" t="inlineStr">
        <is>
          <t>E1</t>
        </is>
      </c>
      <c r="C327" t="inlineStr">
        <is>
          <t>C2</t>
        </is>
      </c>
      <c r="D327" t="n">
        <v>1</v>
      </c>
      <c r="E327" t="inlineStr">
        <is>
          <t>2026-03-24T16:12:31.789454+00:00</t>
        </is>
      </c>
      <c r="F327" t="inlineStr">
        <is>
          <t>2026-03-24T16:12:31.823138+00:00</t>
        </is>
      </c>
      <c r="G327" t="n">
        <v>10</v>
      </c>
      <c r="H327" t="n">
        <v>794.41</v>
      </c>
      <c r="I327" t="n">
        <v>3</v>
      </c>
      <c r="J327" t="n">
        <v>1</v>
      </c>
      <c r="K327" t="n">
        <v>1</v>
      </c>
      <c r="M327" t="inlineStr">
        <is>
          <t>partially</t>
        </is>
      </c>
      <c r="N327" t="n">
        <v>4</v>
      </c>
      <c r="O327" t="inlineStr">
        <is>
          <t>no</t>
        </is>
      </c>
      <c r="Q327" t="inlineStr">
        <is>
          <t>correct</t>
        </is>
      </c>
      <c r="R327" t="inlineStr">
        <is>
          <t>correct</t>
        </is>
      </c>
      <c r="S327" t="inlineStr">
        <is>
          <t>partially</t>
        </is>
      </c>
      <c r="T327" t="inlineStr">
        <is>
          <t>correct</t>
        </is>
      </c>
      <c r="U327">
        <f>IF(T327="correct",1,0)</f>
        <v/>
      </c>
      <c r="V327">
        <f>VLOOKUP(A327,Participants!$A$2:$B$86,2,FALSE)</f>
        <v/>
      </c>
    </row>
    <row r="328">
      <c r="A328" t="inlineStr">
        <is>
          <t>user_0110</t>
        </is>
      </c>
      <c r="B328" t="inlineStr">
        <is>
          <t>E3</t>
        </is>
      </c>
      <c r="C328" t="inlineStr">
        <is>
          <t>C3</t>
        </is>
      </c>
      <c r="D328" t="n">
        <v>2</v>
      </c>
      <c r="E328" t="inlineStr">
        <is>
          <t>2026-03-24T16:35:49.893348+00:00</t>
        </is>
      </c>
      <c r="F328" t="inlineStr">
        <is>
          <t>2026-03-24T16:35:49.912595+00:00</t>
        </is>
      </c>
      <c r="G328" t="n">
        <v>7</v>
      </c>
      <c r="H328" t="n">
        <v>997.48</v>
      </c>
      <c r="I328" t="n">
        <v>2</v>
      </c>
      <c r="J328" t="n">
        <v>1</v>
      </c>
      <c r="K328" t="n">
        <v>1</v>
      </c>
      <c r="M328" t="inlineStr">
        <is>
          <t>matches_completely</t>
        </is>
      </c>
      <c r="N328" t="n">
        <v>4</v>
      </c>
      <c r="O328" t="inlineStr">
        <is>
          <t>yes</t>
        </is>
      </c>
      <c r="Q328" t="inlineStr">
        <is>
          <t>correct</t>
        </is>
      </c>
      <c r="R328" t="inlineStr">
        <is>
          <t>correct</t>
        </is>
      </c>
      <c r="S328" t="inlineStr">
        <is>
          <t>matches_completely</t>
        </is>
      </c>
      <c r="T328" t="inlineStr">
        <is>
          <t>correct</t>
        </is>
      </c>
      <c r="U328">
        <f>IF(T328="correct",1,0)</f>
        <v/>
      </c>
      <c r="V328">
        <f>VLOOKUP(A328,Participants!$A$2:$B$86,2,FALSE)</f>
        <v/>
      </c>
    </row>
    <row r="329">
      <c r="A329" t="inlineStr">
        <is>
          <t>user_0110</t>
        </is>
      </c>
      <c r="B329" t="inlineStr">
        <is>
          <t>E5</t>
        </is>
      </c>
      <c r="C329" t="inlineStr">
        <is>
          <t>C1</t>
        </is>
      </c>
      <c r="D329" t="n">
        <v>3</v>
      </c>
      <c r="E329" t="inlineStr">
        <is>
          <t>2026-03-24T16:45:33.834708+00:00</t>
        </is>
      </c>
      <c r="F329" t="inlineStr">
        <is>
          <t>2026-03-24T16:45:33.856767+00:00</t>
        </is>
      </c>
      <c r="G329" t="n">
        <v>5</v>
      </c>
      <c r="H329" t="n">
        <v>104.59</v>
      </c>
      <c r="I329" t="n">
        <v>1</v>
      </c>
      <c r="J329" t="n">
        <v>1</v>
      </c>
      <c r="K329" t="n">
        <v>1</v>
      </c>
      <c r="M329" t="inlineStr">
        <is>
          <t>matches_completely</t>
        </is>
      </c>
      <c r="N329" t="n">
        <v>4</v>
      </c>
      <c r="O329" t="inlineStr">
        <is>
          <t>yes</t>
        </is>
      </c>
      <c r="Q329" t="inlineStr">
        <is>
          <t>correct</t>
        </is>
      </c>
      <c r="R329" t="inlineStr">
        <is>
          <t>correct</t>
        </is>
      </c>
      <c r="S329" t="inlineStr">
        <is>
          <t>matches_completely</t>
        </is>
      </c>
      <c r="T329" t="inlineStr">
        <is>
          <t>correct</t>
        </is>
      </c>
      <c r="U329">
        <f>IF(T329="correct",1,0)</f>
        <v/>
      </c>
      <c r="V329">
        <f>VLOOKUP(A329,Participants!$A$2:$B$86,2,FALSE)</f>
        <v/>
      </c>
    </row>
    <row r="330">
      <c r="A330" t="inlineStr">
        <is>
          <t>user_0110</t>
        </is>
      </c>
      <c r="B330" t="inlineStr">
        <is>
          <t>E4</t>
        </is>
      </c>
      <c r="C330" t="inlineStr">
        <is>
          <t>C2</t>
        </is>
      </c>
      <c r="D330" t="n">
        <v>4</v>
      </c>
      <c r="E330" t="inlineStr">
        <is>
          <t>2026-03-24T17:16:45.461179+00:00</t>
        </is>
      </c>
      <c r="F330" t="inlineStr">
        <is>
          <t>2026-03-24T17:16:45.483382+00:00</t>
        </is>
      </c>
      <c r="G330" t="n">
        <v>11</v>
      </c>
      <c r="H330" t="n">
        <v>1238.17</v>
      </c>
      <c r="I330" t="n">
        <v>3</v>
      </c>
      <c r="J330" t="n">
        <v>1</v>
      </c>
      <c r="K330" t="n">
        <v>1</v>
      </c>
      <c r="M330" t="inlineStr">
        <is>
          <t>matches_completely</t>
        </is>
      </c>
      <c r="N330" t="n">
        <v>2</v>
      </c>
      <c r="O330" t="inlineStr">
        <is>
          <t>yes</t>
        </is>
      </c>
      <c r="Q330" t="inlineStr">
        <is>
          <t>correct</t>
        </is>
      </c>
      <c r="R330" t="inlineStr">
        <is>
          <t>correct</t>
        </is>
      </c>
      <c r="S330" t="inlineStr">
        <is>
          <t>partially</t>
        </is>
      </c>
      <c r="T330" t="inlineStr">
        <is>
          <t>correct</t>
        </is>
      </c>
      <c r="U330">
        <f>IF(T330="correct",1,0)</f>
        <v/>
      </c>
      <c r="V330">
        <f>VLOOKUP(A330,Participants!$A$2:$B$86,2,FALSE)</f>
        <v/>
      </c>
    </row>
    <row r="331">
      <c r="A331" t="inlineStr">
        <is>
          <t>user_0110</t>
        </is>
      </c>
      <c r="B331" t="inlineStr">
        <is>
          <t>E6</t>
        </is>
      </c>
      <c r="C331" t="inlineStr">
        <is>
          <t>C3</t>
        </is>
      </c>
      <c r="D331" t="n">
        <v>5</v>
      </c>
      <c r="E331" t="inlineStr">
        <is>
          <t>2026-03-24T17:29:52.527657+00:00</t>
        </is>
      </c>
      <c r="F331" t="inlineStr">
        <is>
          <t>2026-03-24T17:29:52.550713+00:00</t>
        </is>
      </c>
      <c r="G331" t="n">
        <v>4</v>
      </c>
      <c r="H331" t="n">
        <v>300.42</v>
      </c>
      <c r="I331" t="n">
        <v>1</v>
      </c>
      <c r="J331" t="n">
        <v>1</v>
      </c>
      <c r="K331" t="n">
        <v>1</v>
      </c>
      <c r="M331" t="inlineStr">
        <is>
          <t>partially</t>
        </is>
      </c>
      <c r="N331" t="n">
        <v>3</v>
      </c>
      <c r="O331" t="inlineStr">
        <is>
          <t>yes</t>
        </is>
      </c>
      <c r="Q331" t="inlineStr">
        <is>
          <t>correct</t>
        </is>
      </c>
      <c r="R331" t="inlineStr">
        <is>
          <t>correct</t>
        </is>
      </c>
      <c r="S331" t="inlineStr">
        <is>
          <t>matches_completely</t>
        </is>
      </c>
      <c r="T331" t="inlineStr">
        <is>
          <t>correct</t>
        </is>
      </c>
      <c r="U331">
        <f>IF(T331="correct",1,0)</f>
        <v/>
      </c>
      <c r="V331">
        <f>VLOOKUP(A331,Participants!$A$2:$B$86,2,FALSE)</f>
        <v/>
      </c>
    </row>
    <row r="332">
      <c r="A332" t="inlineStr">
        <is>
          <t>user_0113</t>
        </is>
      </c>
      <c r="B332" t="inlineStr">
        <is>
          <t>E2</t>
        </is>
      </c>
      <c r="C332" t="inlineStr">
        <is>
          <t>C1</t>
        </is>
      </c>
      <c r="D332" t="n">
        <v>0</v>
      </c>
      <c r="E332" t="inlineStr">
        <is>
          <t>2026-03-25T18:36:08.549943+00:00</t>
        </is>
      </c>
      <c r="F332" t="inlineStr">
        <is>
          <t>2026-03-25T18:36:08.569877+00:00</t>
        </is>
      </c>
      <c r="G332" t="n">
        <v>4</v>
      </c>
      <c r="H332" t="n">
        <v>122.84</v>
      </c>
      <c r="I332" t="n">
        <v>1</v>
      </c>
      <c r="J332" t="n">
        <v>1</v>
      </c>
      <c r="K332" t="n">
        <v>1</v>
      </c>
      <c r="M332" t="inlineStr">
        <is>
          <t>matches_completely</t>
        </is>
      </c>
      <c r="N332" t="n">
        <v>4</v>
      </c>
      <c r="O332" t="inlineStr">
        <is>
          <t>yes</t>
        </is>
      </c>
      <c r="Q332" t="inlineStr">
        <is>
          <t>correct</t>
        </is>
      </c>
      <c r="R332" t="inlineStr">
        <is>
          <t>correct</t>
        </is>
      </c>
      <c r="S332" t="inlineStr">
        <is>
          <t>matches_completely</t>
        </is>
      </c>
      <c r="T332" t="inlineStr">
        <is>
          <t>correct</t>
        </is>
      </c>
      <c r="U332">
        <f>IF(T332="correct",1,0)</f>
        <v/>
      </c>
      <c r="V332">
        <f>VLOOKUP(A332,Participants!$A$2:$B$86,2,FALSE)</f>
        <v/>
      </c>
    </row>
    <row r="333">
      <c r="A333" t="inlineStr">
        <is>
          <t>user_0113</t>
        </is>
      </c>
      <c r="B333" t="inlineStr">
        <is>
          <t>E1</t>
        </is>
      </c>
      <c r="C333" t="inlineStr">
        <is>
          <t>C2</t>
        </is>
      </c>
      <c r="D333" t="n">
        <v>1</v>
      </c>
      <c r="E333" t="inlineStr">
        <is>
          <t>2026-03-25T18:55:55.489399+00:00</t>
        </is>
      </c>
      <c r="F333" t="inlineStr">
        <is>
          <t>2026-03-25T18:55:55.514926+00:00</t>
        </is>
      </c>
      <c r="G333" t="n">
        <v>12</v>
      </c>
      <c r="H333" t="n">
        <v>957.14</v>
      </c>
      <c r="I333" t="n">
        <v>3</v>
      </c>
      <c r="J333" t="n">
        <v>1</v>
      </c>
      <c r="K333" t="n">
        <v>1</v>
      </c>
      <c r="M333" t="inlineStr">
        <is>
          <t>partially</t>
        </is>
      </c>
      <c r="N333" t="n">
        <v>3</v>
      </c>
      <c r="O333" t="inlineStr">
        <is>
          <t>no</t>
        </is>
      </c>
      <c r="Q333" t="inlineStr">
        <is>
          <t>correct</t>
        </is>
      </c>
      <c r="R333" t="inlineStr">
        <is>
          <t>correct</t>
        </is>
      </c>
      <c r="S333" t="inlineStr">
        <is>
          <t>matches_completely</t>
        </is>
      </c>
      <c r="T333" t="inlineStr">
        <is>
          <t>correct</t>
        </is>
      </c>
      <c r="U333">
        <f>IF(T333="correct",1,0)</f>
        <v/>
      </c>
      <c r="V333">
        <f>VLOOKUP(A333,Participants!$A$2:$B$86,2,FALSE)</f>
        <v/>
      </c>
    </row>
    <row r="334">
      <c r="A334" t="inlineStr">
        <is>
          <t>user_0113</t>
        </is>
      </c>
      <c r="B334" t="inlineStr">
        <is>
          <t>E3</t>
        </is>
      </c>
      <c r="C334" t="inlineStr">
        <is>
          <t>C3</t>
        </is>
      </c>
      <c r="D334" t="n">
        <v>2</v>
      </c>
      <c r="E334" t="inlineStr">
        <is>
          <t>2026-03-25T19:11:44.636633+00:00</t>
        </is>
      </c>
      <c r="F334" t="inlineStr">
        <is>
          <t>2026-03-25T19:11:44.665970+00:00</t>
        </is>
      </c>
      <c r="G334" t="n">
        <v>10</v>
      </c>
      <c r="H334" t="n">
        <v>457.45</v>
      </c>
      <c r="I334" t="n">
        <v>3</v>
      </c>
      <c r="J334" t="n">
        <v>1</v>
      </c>
      <c r="K334" t="n">
        <v>1</v>
      </c>
      <c r="M334" t="inlineStr">
        <is>
          <t>partially</t>
        </is>
      </c>
      <c r="N334" t="n">
        <v>3</v>
      </c>
      <c r="O334" t="inlineStr">
        <is>
          <t>no</t>
        </is>
      </c>
      <c r="Q334" t="inlineStr">
        <is>
          <t>correct</t>
        </is>
      </c>
      <c r="R334" t="inlineStr">
        <is>
          <t>correct</t>
        </is>
      </c>
      <c r="S334" t="inlineStr">
        <is>
          <t>matches_completely</t>
        </is>
      </c>
      <c r="T334" t="inlineStr">
        <is>
          <t>correct</t>
        </is>
      </c>
      <c r="U334">
        <f>IF(T334="correct",1,0)</f>
        <v/>
      </c>
      <c r="V334">
        <f>VLOOKUP(A334,Participants!$A$2:$B$86,2,FALSE)</f>
        <v/>
      </c>
    </row>
    <row r="335">
      <c r="A335" t="inlineStr">
        <is>
          <t>user_0113</t>
        </is>
      </c>
      <c r="B335" t="inlineStr">
        <is>
          <t>E5</t>
        </is>
      </c>
      <c r="C335" t="inlineStr">
        <is>
          <t>C1</t>
        </is>
      </c>
      <c r="D335" t="n">
        <v>3</v>
      </c>
      <c r="E335" t="inlineStr">
        <is>
          <t>2026-03-25T19:19:19.699901+00:00</t>
        </is>
      </c>
      <c r="F335" t="inlineStr">
        <is>
          <t>2026-03-25T19:19:19.726803+00:00</t>
        </is>
      </c>
      <c r="G335" t="n">
        <v>11</v>
      </c>
      <c r="H335" t="n">
        <v>224.31</v>
      </c>
      <c r="I335" t="n">
        <v>3</v>
      </c>
      <c r="J335" t="n">
        <v>1</v>
      </c>
      <c r="K335" t="n">
        <v>1</v>
      </c>
      <c r="M335" t="inlineStr">
        <is>
          <t>matches_completely</t>
        </is>
      </c>
      <c r="N335" t="n">
        <v>3</v>
      </c>
      <c r="O335" t="inlineStr">
        <is>
          <t>yes</t>
        </is>
      </c>
      <c r="Q335" t="inlineStr">
        <is>
          <t>correct</t>
        </is>
      </c>
      <c r="R335" t="inlineStr">
        <is>
          <t>correct</t>
        </is>
      </c>
      <c r="S335" t="inlineStr">
        <is>
          <t>matches_completely</t>
        </is>
      </c>
      <c r="T335" t="inlineStr">
        <is>
          <t>correct</t>
        </is>
      </c>
      <c r="U335">
        <f>IF(T335="correct",1,0)</f>
        <v/>
      </c>
      <c r="V335">
        <f>VLOOKUP(A335,Participants!$A$2:$B$86,2,FALSE)</f>
        <v/>
      </c>
    </row>
    <row r="336">
      <c r="A336" t="inlineStr">
        <is>
          <t>user_0113</t>
        </is>
      </c>
      <c r="B336" t="inlineStr">
        <is>
          <t>E4</t>
        </is>
      </c>
      <c r="C336" t="inlineStr">
        <is>
          <t>C2</t>
        </is>
      </c>
      <c r="D336" t="n">
        <v>4</v>
      </c>
      <c r="E336" t="inlineStr">
        <is>
          <t>2026-03-25T19:28:38.371177+00:00</t>
        </is>
      </c>
      <c r="F336" t="inlineStr">
        <is>
          <t>2026-03-25T19:28:38.401241+00:00</t>
        </is>
      </c>
      <c r="G336" t="n">
        <v>11</v>
      </c>
      <c r="H336" t="n">
        <v>464.27</v>
      </c>
      <c r="I336" t="n">
        <v>3</v>
      </c>
      <c r="J336" t="n">
        <v>1</v>
      </c>
      <c r="K336" t="n">
        <v>1</v>
      </c>
      <c r="M336" t="inlineStr">
        <is>
          <t>partially</t>
        </is>
      </c>
      <c r="N336" t="n">
        <v>3</v>
      </c>
      <c r="O336" t="inlineStr">
        <is>
          <t>yes</t>
        </is>
      </c>
      <c r="Q336" t="inlineStr">
        <is>
          <t>correct</t>
        </is>
      </c>
      <c r="R336" t="inlineStr">
        <is>
          <t>correct</t>
        </is>
      </c>
      <c r="S336" t="inlineStr">
        <is>
          <t>matches_completely</t>
        </is>
      </c>
      <c r="T336" t="inlineStr">
        <is>
          <t>correct</t>
        </is>
      </c>
      <c r="U336">
        <f>IF(T336="correct",1,0)</f>
        <v/>
      </c>
      <c r="V336">
        <f>VLOOKUP(A336,Participants!$A$2:$B$86,2,FALSE)</f>
        <v/>
      </c>
    </row>
    <row r="337">
      <c r="A337" t="inlineStr">
        <is>
          <t>user_0113</t>
        </is>
      </c>
      <c r="B337" t="inlineStr">
        <is>
          <t>E6</t>
        </is>
      </c>
      <c r="C337" t="inlineStr">
        <is>
          <t>C3</t>
        </is>
      </c>
      <c r="D337" t="n">
        <v>5</v>
      </c>
      <c r="E337" t="inlineStr">
        <is>
          <t>2026-03-25T19:39:39.150762+00:00</t>
        </is>
      </c>
      <c r="F337" t="inlineStr">
        <is>
          <t>2026-03-25T19:39:39.181525+00:00</t>
        </is>
      </c>
      <c r="G337" t="n">
        <v>14</v>
      </c>
      <c r="H337" t="n">
        <v>444.34</v>
      </c>
      <c r="I337" t="n">
        <v>1</v>
      </c>
      <c r="J337" t="n">
        <v>1</v>
      </c>
      <c r="K337" t="n">
        <v>1</v>
      </c>
      <c r="M337" t="inlineStr">
        <is>
          <t>partially</t>
        </is>
      </c>
      <c r="N337" t="n">
        <v>3</v>
      </c>
      <c r="O337" t="inlineStr">
        <is>
          <t>yes</t>
        </is>
      </c>
      <c r="Q337" t="inlineStr">
        <is>
          <t>correct</t>
        </is>
      </c>
      <c r="R337" t="inlineStr">
        <is>
          <t>correct</t>
        </is>
      </c>
      <c r="S337" t="inlineStr">
        <is>
          <t>matches_completely</t>
        </is>
      </c>
      <c r="T337" t="inlineStr">
        <is>
          <t>correct</t>
        </is>
      </c>
      <c r="U337">
        <f>IF(T337="correct",1,0)</f>
        <v/>
      </c>
      <c r="V337">
        <f>VLOOKUP(A337,Participants!$A$2:$B$86,2,FALSE)</f>
        <v/>
      </c>
    </row>
    <row r="338">
      <c r="A338" t="inlineStr">
        <is>
          <t>user_0114</t>
        </is>
      </c>
      <c r="B338" t="inlineStr">
        <is>
          <t>E2</t>
        </is>
      </c>
      <c r="C338" t="inlineStr">
        <is>
          <t>C1</t>
        </is>
      </c>
      <c r="D338" t="n">
        <v>0</v>
      </c>
      <c r="E338" t="inlineStr">
        <is>
          <t>2026-03-25T18:36:02.294544+00:00</t>
        </is>
      </c>
      <c r="F338" t="inlineStr">
        <is>
          <t>2026-03-25T18:36:02.321773+00:00</t>
        </is>
      </c>
      <c r="G338" t="n">
        <v>4</v>
      </c>
      <c r="H338" t="n">
        <v>142.34</v>
      </c>
      <c r="I338" t="n">
        <v>1</v>
      </c>
      <c r="J338" t="n">
        <v>1</v>
      </c>
      <c r="K338" t="n">
        <v>1</v>
      </c>
      <c r="M338" t="inlineStr">
        <is>
          <t>matches_completely</t>
        </is>
      </c>
      <c r="N338" t="n">
        <v>5</v>
      </c>
      <c r="O338" t="inlineStr">
        <is>
          <t>yes</t>
        </is>
      </c>
      <c r="Q338" t="inlineStr">
        <is>
          <t>correct</t>
        </is>
      </c>
      <c r="R338" t="inlineStr">
        <is>
          <t>correct</t>
        </is>
      </c>
      <c r="S338" t="inlineStr">
        <is>
          <t>matches_completely</t>
        </is>
      </c>
      <c r="T338" t="inlineStr">
        <is>
          <t>correct</t>
        </is>
      </c>
      <c r="U338">
        <f>IF(T338="correct",1,0)</f>
        <v/>
      </c>
      <c r="V338">
        <f>VLOOKUP(A338,Participants!$A$2:$B$86,2,FALSE)</f>
        <v/>
      </c>
    </row>
    <row r="339">
      <c r="A339" t="inlineStr">
        <is>
          <t>user_0114</t>
        </is>
      </c>
      <c r="B339" t="inlineStr">
        <is>
          <t>E1</t>
        </is>
      </c>
      <c r="C339" t="inlineStr">
        <is>
          <t>C2</t>
        </is>
      </c>
      <c r="D339" t="n">
        <v>1</v>
      </c>
      <c r="E339" t="inlineStr">
        <is>
          <t>2026-03-25T18:50:16.237734+00:00</t>
        </is>
      </c>
      <c r="F339" t="inlineStr">
        <is>
          <t>2026-03-25T18:50:16.265622+00:00</t>
        </is>
      </c>
      <c r="G339" t="n">
        <v>12</v>
      </c>
      <c r="H339" t="n">
        <v>644.12</v>
      </c>
      <c r="I339" t="n">
        <v>2</v>
      </c>
      <c r="J339" t="n">
        <v>1</v>
      </c>
      <c r="K339" t="n">
        <v>1</v>
      </c>
      <c r="M339" t="inlineStr">
        <is>
          <t>does_not_match</t>
        </is>
      </c>
      <c r="N339" t="n">
        <v>5</v>
      </c>
      <c r="O339" t="inlineStr">
        <is>
          <t>yes</t>
        </is>
      </c>
      <c r="Q339" t="inlineStr">
        <is>
          <t>incorrect</t>
        </is>
      </c>
      <c r="R339" t="inlineStr">
        <is>
          <t>incorrect</t>
        </is>
      </c>
      <c r="S339" t="inlineStr">
        <is>
          <t>partially</t>
        </is>
      </c>
      <c r="T339" t="inlineStr">
        <is>
          <t>incorrect</t>
        </is>
      </c>
      <c r="U339">
        <f>IF(T339="correct",1,0)</f>
        <v/>
      </c>
      <c r="V339">
        <f>VLOOKUP(A339,Participants!$A$2:$B$86,2,FALSE)</f>
        <v/>
      </c>
    </row>
    <row r="340">
      <c r="A340" t="inlineStr">
        <is>
          <t>user_0114</t>
        </is>
      </c>
      <c r="B340" t="inlineStr">
        <is>
          <t>E3</t>
        </is>
      </c>
      <c r="C340" t="inlineStr">
        <is>
          <t>C3</t>
        </is>
      </c>
      <c r="D340" t="n">
        <v>2</v>
      </c>
      <c r="E340" t="inlineStr">
        <is>
          <t>2026-03-25T19:02:40.292071+00:00</t>
        </is>
      </c>
      <c r="F340" t="inlineStr">
        <is>
          <t>2026-03-25T19:02:40.325474+00:00</t>
        </is>
      </c>
      <c r="G340" t="n">
        <v>10</v>
      </c>
      <c r="H340" t="n">
        <v>519.39</v>
      </c>
      <c r="I340" t="n">
        <v>2</v>
      </c>
      <c r="J340" t="n">
        <v>1</v>
      </c>
      <c r="K340" t="n">
        <v>1</v>
      </c>
      <c r="M340" t="inlineStr">
        <is>
          <t>does_not_match</t>
        </is>
      </c>
      <c r="N340" t="n">
        <v>5</v>
      </c>
      <c r="O340" t="inlineStr">
        <is>
          <t>yes</t>
        </is>
      </c>
      <c r="Q340" t="inlineStr">
        <is>
          <t>incorrect</t>
        </is>
      </c>
      <c r="R340" t="inlineStr">
        <is>
          <t>incorrect</t>
        </is>
      </c>
      <c r="S340" t="inlineStr">
        <is>
          <t>partially</t>
        </is>
      </c>
      <c r="T340" t="inlineStr">
        <is>
          <t>incorrect</t>
        </is>
      </c>
      <c r="U340">
        <f>IF(T340="correct",1,0)</f>
        <v/>
      </c>
      <c r="V340">
        <f>VLOOKUP(A340,Participants!$A$2:$B$86,2,FALSE)</f>
        <v/>
      </c>
    </row>
    <row r="341">
      <c r="A341" t="inlineStr">
        <is>
          <t>user_0114</t>
        </is>
      </c>
      <c r="B341" t="inlineStr">
        <is>
          <t>E5</t>
        </is>
      </c>
      <c r="C341" t="inlineStr">
        <is>
          <t>C1</t>
        </is>
      </c>
      <c r="D341" t="n">
        <v>3</v>
      </c>
      <c r="E341" t="inlineStr">
        <is>
          <t>2026-03-25T19:08:50.100279+00:00</t>
        </is>
      </c>
      <c r="F341" t="inlineStr">
        <is>
          <t>2026-03-25T19:08:50.122947+00:00</t>
        </is>
      </c>
      <c r="G341" t="n">
        <v>7</v>
      </c>
      <c r="H341" t="n">
        <v>139.31</v>
      </c>
      <c r="I341" t="n">
        <v>2</v>
      </c>
      <c r="J341" t="n">
        <v>1</v>
      </c>
      <c r="K341" t="n">
        <v>1</v>
      </c>
      <c r="M341" t="inlineStr">
        <is>
          <t>matches_completely</t>
        </is>
      </c>
      <c r="N341" t="n">
        <v>5</v>
      </c>
      <c r="O341" t="inlineStr">
        <is>
          <t>yes</t>
        </is>
      </c>
      <c r="Q341" t="inlineStr">
        <is>
          <t>correct</t>
        </is>
      </c>
      <c r="R341" t="inlineStr">
        <is>
          <t>correct</t>
        </is>
      </c>
      <c r="S341" t="inlineStr">
        <is>
          <t>matches_completely</t>
        </is>
      </c>
      <c r="T341" t="inlineStr">
        <is>
          <t>correct</t>
        </is>
      </c>
      <c r="U341">
        <f>IF(T341="correct",1,0)</f>
        <v/>
      </c>
      <c r="V341">
        <f>VLOOKUP(A341,Participants!$A$2:$B$86,2,FALSE)</f>
        <v/>
      </c>
    </row>
    <row r="342">
      <c r="A342" t="inlineStr">
        <is>
          <t>user_0114</t>
        </is>
      </c>
      <c r="B342" t="inlineStr">
        <is>
          <t>E4</t>
        </is>
      </c>
      <c r="C342" t="inlineStr">
        <is>
          <t>C2</t>
        </is>
      </c>
      <c r="D342" t="n">
        <v>4</v>
      </c>
      <c r="E342" t="inlineStr">
        <is>
          <t>2026-03-25T19:26:46.870884+00:00</t>
        </is>
      </c>
      <c r="F342" t="inlineStr">
        <is>
          <t>2026-03-25T19:26:46.911749+00:00</t>
        </is>
      </c>
      <c r="G342" t="n">
        <v>8</v>
      </c>
      <c r="H342" t="n">
        <v>142.72</v>
      </c>
      <c r="I342" t="n">
        <v>3</v>
      </c>
      <c r="J342" t="n">
        <v>1</v>
      </c>
      <c r="K342" t="n">
        <v>1</v>
      </c>
      <c r="M342" t="inlineStr">
        <is>
          <t>partially</t>
        </is>
      </c>
      <c r="N342" t="n">
        <v>1</v>
      </c>
      <c r="O342" t="inlineStr">
        <is>
          <t>yes</t>
        </is>
      </c>
      <c r="Q342" t="inlineStr">
        <is>
          <t>correct</t>
        </is>
      </c>
      <c r="R342" t="inlineStr">
        <is>
          <t>correct</t>
        </is>
      </c>
      <c r="S342" t="inlineStr">
        <is>
          <t>matches_completely</t>
        </is>
      </c>
      <c r="T342" t="inlineStr">
        <is>
          <t>correct</t>
        </is>
      </c>
      <c r="U342">
        <f>IF(T342="correct",1,0)</f>
        <v/>
      </c>
      <c r="V342">
        <f>VLOOKUP(A342,Participants!$A$2:$B$86,2,FALSE)</f>
        <v/>
      </c>
    </row>
    <row r="343">
      <c r="A343" t="inlineStr">
        <is>
          <t>user_0114</t>
        </is>
      </c>
      <c r="B343" t="inlineStr">
        <is>
          <t>E6</t>
        </is>
      </c>
      <c r="C343" t="inlineStr">
        <is>
          <t>C3</t>
        </is>
      </c>
      <c r="D343" t="n">
        <v>5</v>
      </c>
      <c r="E343" t="inlineStr">
        <is>
          <t>2026-03-25T19:30:00.342912+00:00</t>
        </is>
      </c>
      <c r="F343" t="inlineStr">
        <is>
          <t>2026-03-25T19:30:00.368824+00:00</t>
        </is>
      </c>
      <c r="G343" t="n">
        <v>4</v>
      </c>
      <c r="H343" t="n">
        <v>102.58</v>
      </c>
      <c r="I343" t="n">
        <v>1</v>
      </c>
      <c r="J343" t="n">
        <v>1</v>
      </c>
      <c r="K343" t="n">
        <v>1</v>
      </c>
      <c r="M343" t="inlineStr">
        <is>
          <t>matches_completely</t>
        </is>
      </c>
      <c r="N343" t="n">
        <v>4</v>
      </c>
      <c r="O343" t="inlineStr">
        <is>
          <t>yes</t>
        </is>
      </c>
      <c r="Q343" t="inlineStr">
        <is>
          <t>correct</t>
        </is>
      </c>
      <c r="R343" t="inlineStr">
        <is>
          <t>correct</t>
        </is>
      </c>
      <c r="S343" t="inlineStr">
        <is>
          <t>matches_completely</t>
        </is>
      </c>
      <c r="T343" t="inlineStr">
        <is>
          <t>correct</t>
        </is>
      </c>
      <c r="U343">
        <f>IF(T343="correct",1,0)</f>
        <v/>
      </c>
      <c r="V343">
        <f>VLOOKUP(A343,Participants!$A$2:$B$86,2,FALSE)</f>
        <v/>
      </c>
    </row>
    <row r="344">
      <c r="A344" t="inlineStr">
        <is>
          <t>user_0115</t>
        </is>
      </c>
      <c r="B344" t="inlineStr">
        <is>
          <t>E2</t>
        </is>
      </c>
      <c r="C344" t="inlineStr">
        <is>
          <t>C1</t>
        </is>
      </c>
      <c r="D344" t="n">
        <v>0</v>
      </c>
      <c r="E344" t="inlineStr">
        <is>
          <t>2026-03-25T19:46:48.539577+00:00</t>
        </is>
      </c>
      <c r="F344" t="inlineStr">
        <is>
          <t>2026-03-25T19:46:48.560872+00:00</t>
        </is>
      </c>
      <c r="G344" t="n">
        <v>4</v>
      </c>
      <c r="H344" t="n">
        <v>933.92</v>
      </c>
      <c r="I344" t="n">
        <v>1</v>
      </c>
      <c r="J344" t="n">
        <v>1</v>
      </c>
      <c r="K344" t="n">
        <v>1</v>
      </c>
      <c r="M344" t="inlineStr">
        <is>
          <t>partially</t>
        </is>
      </c>
      <c r="N344" t="n">
        <v>4</v>
      </c>
      <c r="O344" t="inlineStr">
        <is>
          <t>yes</t>
        </is>
      </c>
      <c r="Q344" t="inlineStr">
        <is>
          <t>correct</t>
        </is>
      </c>
      <c r="R344" t="inlineStr">
        <is>
          <t>correct</t>
        </is>
      </c>
      <c r="S344" t="inlineStr">
        <is>
          <t>does_not_match</t>
        </is>
      </c>
      <c r="T344" t="inlineStr">
        <is>
          <t>correct</t>
        </is>
      </c>
      <c r="U344">
        <f>IF(T344="correct",1,0)</f>
        <v/>
      </c>
      <c r="V344">
        <f>VLOOKUP(A344,Participants!$A$2:$B$86,2,FALSE)</f>
        <v/>
      </c>
    </row>
    <row r="345">
      <c r="A345" t="inlineStr">
        <is>
          <t>user_0115</t>
        </is>
      </c>
      <c r="B345" t="inlineStr">
        <is>
          <t>E1</t>
        </is>
      </c>
      <c r="C345" t="inlineStr">
        <is>
          <t>C2</t>
        </is>
      </c>
      <c r="D345" t="n">
        <v>1</v>
      </c>
      <c r="E345" t="inlineStr">
        <is>
          <t>2026-03-25T20:01:02.800039+00:00</t>
        </is>
      </c>
      <c r="F345" t="inlineStr">
        <is>
          <t>2026-03-25T20:01:02.822412+00:00</t>
        </is>
      </c>
      <c r="G345" t="n">
        <v>11</v>
      </c>
      <c r="H345" t="n">
        <v>631.38</v>
      </c>
      <c r="I345" t="n">
        <v>2</v>
      </c>
      <c r="J345" t="n">
        <v>1</v>
      </c>
      <c r="K345" t="n">
        <v>1</v>
      </c>
      <c r="M345" t="inlineStr">
        <is>
          <t>matches_completely</t>
        </is>
      </c>
      <c r="N345" t="n">
        <v>5</v>
      </c>
      <c r="O345" t="inlineStr">
        <is>
          <t>yes</t>
        </is>
      </c>
      <c r="Q345" t="inlineStr">
        <is>
          <t>correct</t>
        </is>
      </c>
      <c r="R345" t="inlineStr">
        <is>
          <t>correct</t>
        </is>
      </c>
      <c r="S345" t="inlineStr">
        <is>
          <t>partially</t>
        </is>
      </c>
      <c r="T345" t="inlineStr">
        <is>
          <t>correct</t>
        </is>
      </c>
      <c r="U345">
        <f>IF(T345="correct",1,0)</f>
        <v/>
      </c>
      <c r="V345">
        <f>VLOOKUP(A345,Participants!$A$2:$B$86,2,FALSE)</f>
        <v/>
      </c>
    </row>
    <row r="346">
      <c r="A346" t="inlineStr">
        <is>
          <t>user_0115</t>
        </is>
      </c>
      <c r="B346" t="inlineStr">
        <is>
          <t>E3</t>
        </is>
      </c>
      <c r="C346" t="inlineStr">
        <is>
          <t>C3</t>
        </is>
      </c>
      <c r="D346" t="n">
        <v>2</v>
      </c>
      <c r="E346" t="inlineStr">
        <is>
          <t>2026-03-25T20:04:32.098508+00:00</t>
        </is>
      </c>
      <c r="F346" t="inlineStr">
        <is>
          <t>2026-03-25T20:04:32.117530+00:00</t>
        </is>
      </c>
      <c r="G346" t="n">
        <v>4</v>
      </c>
      <c r="H346" t="n">
        <v>166.27</v>
      </c>
      <c r="I346" t="n">
        <v>1</v>
      </c>
      <c r="J346" t="n">
        <v>1</v>
      </c>
      <c r="K346" t="n">
        <v>1</v>
      </c>
      <c r="M346" t="inlineStr">
        <is>
          <t>matches_completely</t>
        </is>
      </c>
      <c r="N346" t="n">
        <v>5</v>
      </c>
      <c r="O346" t="inlineStr">
        <is>
          <t>yes</t>
        </is>
      </c>
      <c r="Q346" t="inlineStr">
        <is>
          <t>correct</t>
        </is>
      </c>
      <c r="R346" t="inlineStr">
        <is>
          <t>correct</t>
        </is>
      </c>
      <c r="S346" t="inlineStr">
        <is>
          <t>matches_completely</t>
        </is>
      </c>
      <c r="T346" t="inlineStr">
        <is>
          <t>correct</t>
        </is>
      </c>
      <c r="U346">
        <f>IF(T346="correct",1,0)</f>
        <v/>
      </c>
      <c r="V346">
        <f>VLOOKUP(A346,Participants!$A$2:$B$86,2,FALSE)</f>
        <v/>
      </c>
    </row>
    <row r="347">
      <c r="A347" t="inlineStr">
        <is>
          <t>user_0115</t>
        </is>
      </c>
      <c r="B347" t="inlineStr">
        <is>
          <t>E5</t>
        </is>
      </c>
      <c r="C347" t="inlineStr">
        <is>
          <t>C1</t>
        </is>
      </c>
      <c r="D347" t="n">
        <v>3</v>
      </c>
      <c r="E347" t="inlineStr">
        <is>
          <t>2026-03-25T20:16:44.458136+00:00</t>
        </is>
      </c>
      <c r="F347" t="inlineStr">
        <is>
          <t>2026-03-25T20:16:44.482007+00:00</t>
        </is>
      </c>
      <c r="G347" t="n">
        <v>9</v>
      </c>
      <c r="H347" t="n">
        <v>513.1900000000001</v>
      </c>
      <c r="I347" t="n">
        <v>1</v>
      </c>
      <c r="J347" t="n">
        <v>1</v>
      </c>
      <c r="K347" t="n">
        <v>1</v>
      </c>
      <c r="M347" t="inlineStr">
        <is>
          <t>partially</t>
        </is>
      </c>
      <c r="N347" t="n">
        <v>4</v>
      </c>
      <c r="O347" t="inlineStr">
        <is>
          <t>no</t>
        </is>
      </c>
      <c r="Q347" t="inlineStr">
        <is>
          <t>incorrect</t>
        </is>
      </c>
      <c r="R347" t="inlineStr">
        <is>
          <t>correct</t>
        </is>
      </c>
      <c r="S347" t="inlineStr">
        <is>
          <t>partially</t>
        </is>
      </c>
      <c r="T347" t="inlineStr">
        <is>
          <t>incorrect</t>
        </is>
      </c>
      <c r="U347">
        <f>IF(T347="correct",1,0)</f>
        <v/>
      </c>
      <c r="V347">
        <f>VLOOKUP(A347,Participants!$A$2:$B$86,2,FALSE)</f>
        <v/>
      </c>
    </row>
    <row r="348">
      <c r="A348" t="inlineStr">
        <is>
          <t>user_0115</t>
        </is>
      </c>
      <c r="B348" t="inlineStr">
        <is>
          <t>E4</t>
        </is>
      </c>
      <c r="C348" t="inlineStr">
        <is>
          <t>C2</t>
        </is>
      </c>
      <c r="D348" t="n">
        <v>4</v>
      </c>
      <c r="E348" t="inlineStr">
        <is>
          <t>2026-03-25T20:20:13.643194+00:00</t>
        </is>
      </c>
      <c r="F348" t="inlineStr">
        <is>
          <t>2026-03-25T20:20:13.662475+00:00</t>
        </is>
      </c>
      <c r="G348" t="n">
        <v>4</v>
      </c>
      <c r="H348" t="n">
        <v>98.12</v>
      </c>
      <c r="I348" t="n">
        <v>1</v>
      </c>
      <c r="J348" t="n">
        <v>1</v>
      </c>
      <c r="K348" t="n">
        <v>1</v>
      </c>
      <c r="M348" t="inlineStr">
        <is>
          <t>matches_completely</t>
        </is>
      </c>
      <c r="N348" t="n">
        <v>4</v>
      </c>
      <c r="O348" t="inlineStr">
        <is>
          <t>yes</t>
        </is>
      </c>
      <c r="Q348" t="inlineStr">
        <is>
          <t>correct</t>
        </is>
      </c>
      <c r="R348" t="inlineStr">
        <is>
          <t>correct</t>
        </is>
      </c>
      <c r="S348" t="inlineStr">
        <is>
          <t>matches_completely</t>
        </is>
      </c>
      <c r="T348" t="inlineStr">
        <is>
          <t>correct</t>
        </is>
      </c>
      <c r="U348">
        <f>IF(T348="correct",1,0)</f>
        <v/>
      </c>
      <c r="V348">
        <f>VLOOKUP(A348,Participants!$A$2:$B$86,2,FALSE)</f>
        <v/>
      </c>
    </row>
    <row r="349">
      <c r="A349" t="inlineStr">
        <is>
          <t>user_0115</t>
        </is>
      </c>
      <c r="B349" t="inlineStr">
        <is>
          <t>E6</t>
        </is>
      </c>
      <c r="C349" t="inlineStr">
        <is>
          <t>C3</t>
        </is>
      </c>
      <c r="D349" t="n">
        <v>5</v>
      </c>
      <c r="E349" t="inlineStr">
        <is>
          <t>2026-03-25T20:21:56.641730+00:00</t>
        </is>
      </c>
      <c r="F349" t="inlineStr">
        <is>
          <t>2026-03-25T20:21:56.664746+00:00</t>
        </is>
      </c>
      <c r="G349" t="n">
        <v>4</v>
      </c>
      <c r="H349" t="n">
        <v>30.52</v>
      </c>
      <c r="I349" t="n">
        <v>1</v>
      </c>
      <c r="J349" t="n">
        <v>1</v>
      </c>
      <c r="K349" t="n">
        <v>1</v>
      </c>
      <c r="M349" t="inlineStr">
        <is>
          <t>matches_completely</t>
        </is>
      </c>
      <c r="N349" t="n">
        <v>4</v>
      </c>
      <c r="O349" t="inlineStr">
        <is>
          <t>yes</t>
        </is>
      </c>
      <c r="Q349" t="inlineStr">
        <is>
          <t>correct</t>
        </is>
      </c>
      <c r="R349" t="inlineStr">
        <is>
          <t>correct</t>
        </is>
      </c>
      <c r="S349" t="inlineStr">
        <is>
          <t>matches_completely</t>
        </is>
      </c>
      <c r="T349" t="inlineStr">
        <is>
          <t>correct</t>
        </is>
      </c>
      <c r="U349">
        <f>IF(T349="correct",1,0)</f>
        <v/>
      </c>
      <c r="V349">
        <f>VLOOKUP(A349,Participants!$A$2:$B$86,2,FALSE)</f>
        <v/>
      </c>
    </row>
    <row r="350">
      <c r="A350" t="inlineStr">
        <is>
          <t>user_0116</t>
        </is>
      </c>
      <c r="B350" t="inlineStr">
        <is>
          <t>E2</t>
        </is>
      </c>
      <c r="C350" t="inlineStr">
        <is>
          <t>C1</t>
        </is>
      </c>
      <c r="D350" t="n">
        <v>0</v>
      </c>
      <c r="E350" t="inlineStr">
        <is>
          <t>2026-03-25T19:01:29.554413+00:00</t>
        </is>
      </c>
      <c r="F350" t="inlineStr">
        <is>
          <t>2026-03-25T19:01:29.579525+00:00</t>
        </is>
      </c>
      <c r="G350" t="n">
        <v>5</v>
      </c>
      <c r="H350" t="n">
        <v>143.83</v>
      </c>
      <c r="I350" t="n">
        <v>2</v>
      </c>
      <c r="J350" t="n">
        <v>1</v>
      </c>
      <c r="K350" t="n">
        <v>1</v>
      </c>
      <c r="M350" t="inlineStr">
        <is>
          <t>matches_completely</t>
        </is>
      </c>
      <c r="N350" t="n">
        <v>5</v>
      </c>
      <c r="O350" t="inlineStr">
        <is>
          <t>yes</t>
        </is>
      </c>
      <c r="Q350" t="inlineStr">
        <is>
          <t>correct</t>
        </is>
      </c>
      <c r="R350" t="inlineStr">
        <is>
          <t>correct</t>
        </is>
      </c>
      <c r="S350" t="inlineStr">
        <is>
          <t>matches_completely</t>
        </is>
      </c>
      <c r="T350" t="inlineStr">
        <is>
          <t>correct</t>
        </is>
      </c>
      <c r="U350">
        <f>IF(T350="correct",1,0)</f>
        <v/>
      </c>
      <c r="V350">
        <f>VLOOKUP(A350,Participants!$A$2:$B$86,2,FALSE)</f>
        <v/>
      </c>
    </row>
    <row r="351">
      <c r="A351" t="inlineStr">
        <is>
          <t>user_0116</t>
        </is>
      </c>
      <c r="B351" t="inlineStr">
        <is>
          <t>E1</t>
        </is>
      </c>
      <c r="C351" t="inlineStr">
        <is>
          <t>C2</t>
        </is>
      </c>
      <c r="D351" t="n">
        <v>1</v>
      </c>
      <c r="E351" t="inlineStr">
        <is>
          <t>2026-03-25T19:06:32.743529+00:00</t>
        </is>
      </c>
      <c r="F351" t="inlineStr">
        <is>
          <t>2026-03-25T19:06:32.763706+00:00</t>
        </is>
      </c>
      <c r="G351" t="n">
        <v>4</v>
      </c>
      <c r="H351" t="n">
        <v>132.33</v>
      </c>
      <c r="I351" t="n">
        <v>1</v>
      </c>
      <c r="J351" t="n">
        <v>1</v>
      </c>
      <c r="K351" t="n">
        <v>1</v>
      </c>
      <c r="M351" t="inlineStr">
        <is>
          <t>matches_completely</t>
        </is>
      </c>
      <c r="N351" t="n">
        <v>5</v>
      </c>
      <c r="O351" t="inlineStr">
        <is>
          <t>yes</t>
        </is>
      </c>
      <c r="Q351" t="inlineStr">
        <is>
          <t>correct</t>
        </is>
      </c>
      <c r="R351" t="inlineStr">
        <is>
          <t>correct</t>
        </is>
      </c>
      <c r="S351" t="inlineStr">
        <is>
          <t>matches_completely</t>
        </is>
      </c>
      <c r="T351" t="inlineStr">
        <is>
          <t>correct</t>
        </is>
      </c>
      <c r="U351">
        <f>IF(T351="correct",1,0)</f>
        <v/>
      </c>
      <c r="V351">
        <f>VLOOKUP(A351,Participants!$A$2:$B$86,2,FALSE)</f>
        <v/>
      </c>
    </row>
    <row r="352">
      <c r="A352" t="inlineStr">
        <is>
          <t>user_0116</t>
        </is>
      </c>
      <c r="B352" t="inlineStr">
        <is>
          <t>E3</t>
        </is>
      </c>
      <c r="C352" t="inlineStr">
        <is>
          <t>C3</t>
        </is>
      </c>
      <c r="D352" t="n">
        <v>2</v>
      </c>
      <c r="E352" t="inlineStr">
        <is>
          <t>2026-03-25T19:27:37.599704+00:00</t>
        </is>
      </c>
      <c r="F352" t="inlineStr">
        <is>
          <t>2026-03-25T19:27:37.624777+00:00</t>
        </is>
      </c>
      <c r="G352" t="n">
        <v>10</v>
      </c>
      <c r="H352" t="n">
        <v>985.8</v>
      </c>
      <c r="I352" t="n">
        <v>2</v>
      </c>
      <c r="J352" t="n">
        <v>1</v>
      </c>
      <c r="K352" t="n">
        <v>1</v>
      </c>
      <c r="M352" t="inlineStr">
        <is>
          <t>does_not_match</t>
        </is>
      </c>
      <c r="N352" t="n">
        <v>4</v>
      </c>
      <c r="O352" t="inlineStr">
        <is>
          <t>no</t>
        </is>
      </c>
      <c r="Q352" t="inlineStr">
        <is>
          <t>incorrect</t>
        </is>
      </c>
      <c r="R352" t="inlineStr">
        <is>
          <t>incorrect</t>
        </is>
      </c>
      <c r="S352" t="inlineStr">
        <is>
          <t>matches_completely</t>
        </is>
      </c>
      <c r="T352" t="inlineStr">
        <is>
          <t>incorrect</t>
        </is>
      </c>
      <c r="U352">
        <f>IF(T352="correct",1,0)</f>
        <v/>
      </c>
      <c r="V352">
        <f>VLOOKUP(A352,Participants!$A$2:$B$86,2,FALSE)</f>
        <v/>
      </c>
    </row>
    <row r="353">
      <c r="A353" t="inlineStr">
        <is>
          <t>user_0116</t>
        </is>
      </c>
      <c r="B353" t="inlineStr">
        <is>
          <t>E5</t>
        </is>
      </c>
      <c r="C353" t="inlineStr">
        <is>
          <t>C1</t>
        </is>
      </c>
      <c r="D353" t="n">
        <v>3</v>
      </c>
      <c r="E353" t="inlineStr">
        <is>
          <t>2026-03-25T19:32:16.848584+00:00</t>
        </is>
      </c>
      <c r="F353" t="inlineStr">
        <is>
          <t>2026-03-25T19:32:16.874257+00:00</t>
        </is>
      </c>
      <c r="G353" t="n">
        <v>4</v>
      </c>
      <c r="H353" t="n">
        <v>87.66</v>
      </c>
      <c r="I353" t="n">
        <v>1</v>
      </c>
      <c r="J353" t="n">
        <v>1</v>
      </c>
      <c r="K353" t="n">
        <v>1</v>
      </c>
      <c r="M353" t="inlineStr">
        <is>
          <t>matches_completely</t>
        </is>
      </c>
      <c r="N353" t="n">
        <v>5</v>
      </c>
      <c r="O353" t="inlineStr">
        <is>
          <t>yes</t>
        </is>
      </c>
      <c r="Q353" t="inlineStr">
        <is>
          <t>correct</t>
        </is>
      </c>
      <c r="R353" t="inlineStr">
        <is>
          <t>correct</t>
        </is>
      </c>
      <c r="S353" t="inlineStr">
        <is>
          <t>matches_completely</t>
        </is>
      </c>
      <c r="T353" t="inlineStr">
        <is>
          <t>correct</t>
        </is>
      </c>
      <c r="U353">
        <f>IF(T353="correct",1,0)</f>
        <v/>
      </c>
      <c r="V353">
        <f>VLOOKUP(A353,Participants!$A$2:$B$86,2,FALSE)</f>
        <v/>
      </c>
    </row>
    <row r="354">
      <c r="A354" t="inlineStr">
        <is>
          <t>user_0116</t>
        </is>
      </c>
      <c r="B354" t="inlineStr">
        <is>
          <t>E4</t>
        </is>
      </c>
      <c r="C354" t="inlineStr">
        <is>
          <t>C2</t>
        </is>
      </c>
      <c r="D354" t="n">
        <v>4</v>
      </c>
      <c r="E354" t="inlineStr">
        <is>
          <t>2026-03-25T19:34:59.721902+00:00</t>
        </is>
      </c>
      <c r="F354" t="inlineStr">
        <is>
          <t>2026-03-25T19:34:59.747621+00:00</t>
        </is>
      </c>
      <c r="G354" t="n">
        <v>4</v>
      </c>
      <c r="H354" t="n">
        <v>112.3</v>
      </c>
      <c r="I354" t="n">
        <v>1</v>
      </c>
      <c r="J354" t="n">
        <v>1</v>
      </c>
      <c r="K354" t="n">
        <v>1</v>
      </c>
      <c r="M354" t="inlineStr">
        <is>
          <t>matches_completely</t>
        </is>
      </c>
      <c r="N354" t="n">
        <v>5</v>
      </c>
      <c r="O354" t="inlineStr">
        <is>
          <t>yes</t>
        </is>
      </c>
      <c r="Q354" t="inlineStr">
        <is>
          <t>correct</t>
        </is>
      </c>
      <c r="R354" t="inlineStr">
        <is>
          <t>correct</t>
        </is>
      </c>
      <c r="S354" t="inlineStr">
        <is>
          <t>matches_completely</t>
        </is>
      </c>
      <c r="T354" t="inlineStr">
        <is>
          <t>correct</t>
        </is>
      </c>
      <c r="U354">
        <f>IF(T354="correct",1,0)</f>
        <v/>
      </c>
      <c r="V354">
        <f>VLOOKUP(A354,Participants!$A$2:$B$86,2,FALSE)</f>
        <v/>
      </c>
    </row>
    <row r="355">
      <c r="A355" t="inlineStr">
        <is>
          <t>user_0116</t>
        </is>
      </c>
      <c r="B355" t="inlineStr">
        <is>
          <t>E6</t>
        </is>
      </c>
      <c r="C355" t="inlineStr">
        <is>
          <t>C3</t>
        </is>
      </c>
      <c r="D355" t="n">
        <v>5</v>
      </c>
      <c r="E355" t="inlineStr">
        <is>
          <t>2026-03-25T19:36:41.235657+00:00</t>
        </is>
      </c>
      <c r="F355" t="inlineStr">
        <is>
          <t>2026-03-25T19:36:41.260304+00:00</t>
        </is>
      </c>
      <c r="G355" t="n">
        <v>4</v>
      </c>
      <c r="H355" t="n">
        <v>53.03</v>
      </c>
      <c r="I355" t="n">
        <v>1</v>
      </c>
      <c r="J355" t="n">
        <v>1</v>
      </c>
      <c r="K355" t="n">
        <v>1</v>
      </c>
      <c r="M355" t="inlineStr">
        <is>
          <t>matches_completely</t>
        </is>
      </c>
      <c r="N355" t="n">
        <v>5</v>
      </c>
      <c r="O355" t="inlineStr">
        <is>
          <t>yes</t>
        </is>
      </c>
      <c r="Q355" t="inlineStr">
        <is>
          <t>correct</t>
        </is>
      </c>
      <c r="R355" t="inlineStr">
        <is>
          <t>correct</t>
        </is>
      </c>
      <c r="S355" t="inlineStr">
        <is>
          <t>matches_completely</t>
        </is>
      </c>
      <c r="T355" t="inlineStr">
        <is>
          <t>correct</t>
        </is>
      </c>
      <c r="U355">
        <f>IF(T355="correct",1,0)</f>
        <v/>
      </c>
      <c r="V355">
        <f>VLOOKUP(A355,Participants!$A$2:$B$86,2,FALSE)</f>
        <v/>
      </c>
    </row>
    <row r="356">
      <c r="A356" t="inlineStr">
        <is>
          <t>user_0118</t>
        </is>
      </c>
      <c r="B356" t="inlineStr">
        <is>
          <t>E2</t>
        </is>
      </c>
      <c r="C356" t="inlineStr">
        <is>
          <t>C1</t>
        </is>
      </c>
      <c r="D356" t="n">
        <v>0</v>
      </c>
      <c r="E356" t="inlineStr">
        <is>
          <t>2026-03-26T14:47:23.206972+00:00</t>
        </is>
      </c>
      <c r="F356" t="inlineStr">
        <is>
          <t>2026-03-26T14:47:23.229183+00:00</t>
        </is>
      </c>
      <c r="G356" t="n">
        <v>4</v>
      </c>
      <c r="H356" t="n">
        <v>177.48</v>
      </c>
      <c r="I356" t="n">
        <v>1</v>
      </c>
      <c r="J356" t="n">
        <v>1</v>
      </c>
      <c r="K356" t="n">
        <v>1</v>
      </c>
      <c r="M356" t="inlineStr">
        <is>
          <t>partially</t>
        </is>
      </c>
      <c r="N356" t="n">
        <v>4</v>
      </c>
      <c r="O356" t="inlineStr">
        <is>
          <t>yes</t>
        </is>
      </c>
      <c r="Q356" t="inlineStr">
        <is>
          <t>correct</t>
        </is>
      </c>
      <c r="R356" t="inlineStr">
        <is>
          <t>correct</t>
        </is>
      </c>
      <c r="S356" t="inlineStr">
        <is>
          <t>matches_completely</t>
        </is>
      </c>
      <c r="T356" t="inlineStr">
        <is>
          <t>correct</t>
        </is>
      </c>
      <c r="U356">
        <f>IF(T356="correct",1,0)</f>
        <v/>
      </c>
      <c r="V356">
        <f>VLOOKUP(A356,Participants!$A$2:$B$86,2,FALSE)</f>
        <v/>
      </c>
    </row>
    <row r="357">
      <c r="A357" t="inlineStr">
        <is>
          <t>user_0118</t>
        </is>
      </c>
      <c r="B357" t="inlineStr">
        <is>
          <t>E1</t>
        </is>
      </c>
      <c r="C357" t="inlineStr">
        <is>
          <t>C2</t>
        </is>
      </c>
      <c r="D357" t="n">
        <v>1</v>
      </c>
      <c r="E357" t="inlineStr">
        <is>
          <t>2026-03-26T14:55:09.353169+00:00</t>
        </is>
      </c>
      <c r="F357" t="inlineStr">
        <is>
          <t>2026-03-26T14:55:09.376056+00:00</t>
        </is>
      </c>
      <c r="G357" t="n">
        <v>4</v>
      </c>
      <c r="H357" t="n">
        <v>125.02</v>
      </c>
      <c r="I357" t="n">
        <v>1</v>
      </c>
      <c r="J357" t="n">
        <v>1</v>
      </c>
      <c r="K357" t="n">
        <v>1</v>
      </c>
      <c r="M357" t="inlineStr">
        <is>
          <t>matches_completely</t>
        </is>
      </c>
      <c r="N357" t="n">
        <v>5</v>
      </c>
      <c r="O357" t="inlineStr">
        <is>
          <t>yes</t>
        </is>
      </c>
      <c r="Q357" t="inlineStr">
        <is>
          <t>correct</t>
        </is>
      </c>
      <c r="R357" t="inlineStr">
        <is>
          <t>correct</t>
        </is>
      </c>
      <c r="S357" t="inlineStr">
        <is>
          <t>matches_completely</t>
        </is>
      </c>
      <c r="T357" t="inlineStr">
        <is>
          <t>correct</t>
        </is>
      </c>
      <c r="U357">
        <f>IF(T357="correct",1,0)</f>
        <v/>
      </c>
      <c r="V357">
        <f>VLOOKUP(A357,Participants!$A$2:$B$86,2,FALSE)</f>
        <v/>
      </c>
    </row>
    <row r="358">
      <c r="A358" t="inlineStr">
        <is>
          <t>user_0118</t>
        </is>
      </c>
      <c r="B358" t="inlineStr">
        <is>
          <t>E3</t>
        </is>
      </c>
      <c r="C358" t="inlineStr">
        <is>
          <t>C3</t>
        </is>
      </c>
      <c r="D358" t="n">
        <v>2</v>
      </c>
      <c r="E358" t="inlineStr">
        <is>
          <t>2026-03-26T15:14:41.077416+00:00</t>
        </is>
      </c>
      <c r="F358" t="inlineStr">
        <is>
          <t>2026-03-26T15:14:41.100024+00:00</t>
        </is>
      </c>
      <c r="G358" t="n">
        <v>4</v>
      </c>
      <c r="H358" t="n">
        <v>118.72</v>
      </c>
      <c r="I358" t="n">
        <v>1</v>
      </c>
      <c r="J358" t="n">
        <v>1</v>
      </c>
      <c r="K358" t="n">
        <v>1</v>
      </c>
      <c r="M358" t="inlineStr">
        <is>
          <t>matches_completely</t>
        </is>
      </c>
      <c r="N358" t="n">
        <v>4</v>
      </c>
      <c r="O358" t="inlineStr">
        <is>
          <t>yes</t>
        </is>
      </c>
      <c r="Q358" t="inlineStr">
        <is>
          <t>correct</t>
        </is>
      </c>
      <c r="R358" t="inlineStr">
        <is>
          <t>correct</t>
        </is>
      </c>
      <c r="S358" t="inlineStr">
        <is>
          <t>matches_completely</t>
        </is>
      </c>
      <c r="T358" t="inlineStr">
        <is>
          <t>correct</t>
        </is>
      </c>
      <c r="U358">
        <f>IF(T358="correct",1,0)</f>
        <v/>
      </c>
      <c r="V358">
        <f>VLOOKUP(A358,Participants!$A$2:$B$86,2,FALSE)</f>
        <v/>
      </c>
    </row>
    <row r="359">
      <c r="A359" t="inlineStr">
        <is>
          <t>user_0118</t>
        </is>
      </c>
      <c r="B359" t="inlineStr">
        <is>
          <t>E5</t>
        </is>
      </c>
      <c r="C359" t="inlineStr">
        <is>
          <t>C1</t>
        </is>
      </c>
      <c r="D359" t="n">
        <v>3</v>
      </c>
      <c r="E359" t="inlineStr">
        <is>
          <t>2026-03-26T15:21:42.730744+00:00</t>
        </is>
      </c>
      <c r="F359" t="inlineStr">
        <is>
          <t>2026-03-26T15:21:42.750781+00:00</t>
        </is>
      </c>
      <c r="G359" t="n">
        <v>4</v>
      </c>
      <c r="H359" t="n">
        <v>52.86</v>
      </c>
      <c r="I359" t="n">
        <v>1</v>
      </c>
      <c r="J359" t="n">
        <v>1</v>
      </c>
      <c r="K359" t="n">
        <v>1</v>
      </c>
      <c r="M359" t="inlineStr">
        <is>
          <t>matches_completely</t>
        </is>
      </c>
      <c r="N359" t="n">
        <v>5</v>
      </c>
      <c r="O359" t="inlineStr">
        <is>
          <t>yes</t>
        </is>
      </c>
      <c r="Q359" t="inlineStr">
        <is>
          <t>correct</t>
        </is>
      </c>
      <c r="R359" t="inlineStr">
        <is>
          <t>correct</t>
        </is>
      </c>
      <c r="S359" t="inlineStr">
        <is>
          <t>matches_completely</t>
        </is>
      </c>
      <c r="T359" t="inlineStr">
        <is>
          <t>correct</t>
        </is>
      </c>
      <c r="U359">
        <f>IF(T359="correct",1,0)</f>
        <v/>
      </c>
      <c r="V359">
        <f>VLOOKUP(A359,Participants!$A$2:$B$86,2,FALSE)</f>
        <v/>
      </c>
    </row>
    <row r="360">
      <c r="A360" t="inlineStr">
        <is>
          <t>user_0118</t>
        </is>
      </c>
      <c r="B360" t="inlineStr">
        <is>
          <t>E4</t>
        </is>
      </c>
      <c r="C360" t="inlineStr">
        <is>
          <t>C2</t>
        </is>
      </c>
      <c r="D360" t="n">
        <v>4</v>
      </c>
      <c r="E360" t="inlineStr">
        <is>
          <t>2026-03-26T15:24:09.633589+00:00</t>
        </is>
      </c>
      <c r="F360" t="inlineStr">
        <is>
          <t>2026-03-26T15:24:09.651925+00:00</t>
        </is>
      </c>
      <c r="G360" t="n">
        <v>4</v>
      </c>
      <c r="H360" t="n">
        <v>54.5</v>
      </c>
      <c r="I360" t="n">
        <v>1</v>
      </c>
      <c r="J360" t="n">
        <v>1</v>
      </c>
      <c r="K360" t="n">
        <v>1</v>
      </c>
      <c r="M360" t="inlineStr">
        <is>
          <t>matches_completely</t>
        </is>
      </c>
      <c r="N360" t="n">
        <v>5</v>
      </c>
      <c r="O360" t="inlineStr">
        <is>
          <t>yes</t>
        </is>
      </c>
      <c r="Q360" t="inlineStr">
        <is>
          <t>correct</t>
        </is>
      </c>
      <c r="R360" t="inlineStr">
        <is>
          <t>correct</t>
        </is>
      </c>
      <c r="S360" t="inlineStr">
        <is>
          <t>matches_completely</t>
        </is>
      </c>
      <c r="T360" t="inlineStr">
        <is>
          <t>correct</t>
        </is>
      </c>
      <c r="U360">
        <f>IF(T360="correct",1,0)</f>
        <v/>
      </c>
      <c r="V360">
        <f>VLOOKUP(A360,Participants!$A$2:$B$86,2,FALSE)</f>
        <v/>
      </c>
    </row>
    <row r="361">
      <c r="A361" t="inlineStr">
        <is>
          <t>user_0118</t>
        </is>
      </c>
      <c r="B361" t="inlineStr">
        <is>
          <t>E6</t>
        </is>
      </c>
      <c r="C361" t="inlineStr">
        <is>
          <t>C3</t>
        </is>
      </c>
      <c r="D361" t="n">
        <v>5</v>
      </c>
      <c r="E361" t="inlineStr">
        <is>
          <t>2026-03-26T15:27:15.838037+00:00</t>
        </is>
      </c>
      <c r="F361" t="inlineStr">
        <is>
          <t>2026-03-26T15:27:15.858527+00:00</t>
        </is>
      </c>
      <c r="G361" t="n">
        <v>4</v>
      </c>
      <c r="H361" t="n">
        <v>39.59</v>
      </c>
      <c r="I361" t="n">
        <v>1</v>
      </c>
      <c r="J361" t="n">
        <v>1</v>
      </c>
      <c r="K361" t="n">
        <v>1</v>
      </c>
      <c r="M361" t="inlineStr">
        <is>
          <t>matches_completely</t>
        </is>
      </c>
      <c r="N361" t="n">
        <v>4</v>
      </c>
      <c r="O361" t="inlineStr">
        <is>
          <t>yes</t>
        </is>
      </c>
      <c r="Q361" t="inlineStr">
        <is>
          <t>correct</t>
        </is>
      </c>
      <c r="R361" t="inlineStr">
        <is>
          <t>correct</t>
        </is>
      </c>
      <c r="S361" t="inlineStr">
        <is>
          <t>matches_completely</t>
        </is>
      </c>
      <c r="T361" t="inlineStr">
        <is>
          <t>correct</t>
        </is>
      </c>
      <c r="U361">
        <f>IF(T361="correct",1,0)</f>
        <v/>
      </c>
      <c r="V361">
        <f>VLOOKUP(A361,Participants!$A$2:$B$86,2,FALSE)</f>
        <v/>
      </c>
    </row>
    <row r="362">
      <c r="A362" t="inlineStr">
        <is>
          <t>user_0119</t>
        </is>
      </c>
      <c r="B362" t="inlineStr">
        <is>
          <t>E2</t>
        </is>
      </c>
      <c r="C362" t="inlineStr">
        <is>
          <t>C1</t>
        </is>
      </c>
      <c r="D362" t="n">
        <v>0</v>
      </c>
      <c r="E362" t="inlineStr">
        <is>
          <t>2026-03-26T15:16:51.885562+00:00</t>
        </is>
      </c>
      <c r="F362" t="inlineStr">
        <is>
          <t>2026-03-26T15:16:51.905171+00:00</t>
        </is>
      </c>
      <c r="G362" t="n">
        <v>4</v>
      </c>
      <c r="H362" t="n">
        <v>125.38</v>
      </c>
      <c r="I362" t="n">
        <v>1</v>
      </c>
      <c r="J362" t="n">
        <v>1</v>
      </c>
      <c r="K362" t="n">
        <v>1</v>
      </c>
      <c r="M362" t="inlineStr">
        <is>
          <t>matches_completely</t>
        </is>
      </c>
      <c r="N362" t="n">
        <v>3</v>
      </c>
      <c r="O362" t="inlineStr">
        <is>
          <t>yes</t>
        </is>
      </c>
      <c r="Q362" t="inlineStr">
        <is>
          <t>correct</t>
        </is>
      </c>
      <c r="R362" t="inlineStr">
        <is>
          <t>correct</t>
        </is>
      </c>
      <c r="S362" t="inlineStr">
        <is>
          <t>does_not_match</t>
        </is>
      </c>
      <c r="T362" t="inlineStr">
        <is>
          <t>correct</t>
        </is>
      </c>
      <c r="U362">
        <f>IF(T362="correct",1,0)</f>
        <v/>
      </c>
      <c r="V362">
        <f>VLOOKUP(A362,Participants!$A$2:$B$86,2,FALSE)</f>
        <v/>
      </c>
    </row>
    <row r="363">
      <c r="A363" t="inlineStr">
        <is>
          <t>user_0119</t>
        </is>
      </c>
      <c r="B363" t="inlineStr">
        <is>
          <t>E1</t>
        </is>
      </c>
      <c r="C363" t="inlineStr">
        <is>
          <t>C2</t>
        </is>
      </c>
      <c r="D363" t="n">
        <v>1</v>
      </c>
      <c r="E363" t="inlineStr">
        <is>
          <t>2026-03-26T15:24:15.712976+00:00</t>
        </is>
      </c>
      <c r="F363" t="inlineStr">
        <is>
          <t>2026-03-26T15:24:15.733539+00:00</t>
        </is>
      </c>
      <c r="G363" t="n">
        <v>7</v>
      </c>
      <c r="H363" t="n">
        <v>180.8</v>
      </c>
      <c r="I363" t="n">
        <v>2</v>
      </c>
      <c r="J363" t="n">
        <v>1</v>
      </c>
      <c r="K363" t="n">
        <v>1</v>
      </c>
      <c r="M363" t="inlineStr">
        <is>
          <t>matches_completely</t>
        </is>
      </c>
      <c r="N363" t="n">
        <v>3</v>
      </c>
      <c r="O363" t="inlineStr">
        <is>
          <t>yes</t>
        </is>
      </c>
      <c r="Q363" t="inlineStr">
        <is>
          <t>correct</t>
        </is>
      </c>
      <c r="R363" t="inlineStr">
        <is>
          <t>correct</t>
        </is>
      </c>
      <c r="S363" t="inlineStr">
        <is>
          <t>matches_completely</t>
        </is>
      </c>
      <c r="T363" t="inlineStr">
        <is>
          <t>correct</t>
        </is>
      </c>
      <c r="U363">
        <f>IF(T363="correct",1,0)</f>
        <v/>
      </c>
      <c r="V363">
        <f>VLOOKUP(A363,Participants!$A$2:$B$86,2,FALSE)</f>
        <v/>
      </c>
    </row>
    <row r="364">
      <c r="A364" t="inlineStr">
        <is>
          <t>user_0119</t>
        </is>
      </c>
      <c r="B364" t="inlineStr">
        <is>
          <t>E3</t>
        </is>
      </c>
      <c r="C364" t="inlineStr">
        <is>
          <t>C3</t>
        </is>
      </c>
      <c r="D364" t="n">
        <v>2</v>
      </c>
      <c r="E364" t="inlineStr">
        <is>
          <t>2026-03-26T15:29:18.421745+00:00</t>
        </is>
      </c>
      <c r="F364" t="inlineStr">
        <is>
          <t>2026-03-26T15:29:18.439696+00:00</t>
        </is>
      </c>
      <c r="G364" t="n">
        <v>4</v>
      </c>
      <c r="H364" t="n">
        <v>98.23999999999999</v>
      </c>
      <c r="I364" t="n">
        <v>1</v>
      </c>
      <c r="J364" t="n">
        <v>1</v>
      </c>
      <c r="K364" t="n">
        <v>1</v>
      </c>
      <c r="M364" t="inlineStr">
        <is>
          <t>partially</t>
        </is>
      </c>
      <c r="N364" t="n">
        <v>3</v>
      </c>
      <c r="O364" t="inlineStr">
        <is>
          <t>yes</t>
        </is>
      </c>
      <c r="Q364" t="inlineStr">
        <is>
          <t>correct</t>
        </is>
      </c>
      <c r="R364" t="inlineStr">
        <is>
          <t>correct</t>
        </is>
      </c>
      <c r="S364" t="inlineStr">
        <is>
          <t>matches_completely</t>
        </is>
      </c>
      <c r="T364" t="inlineStr">
        <is>
          <t>correct</t>
        </is>
      </c>
      <c r="U364">
        <f>IF(T364="correct",1,0)</f>
        <v/>
      </c>
      <c r="V364">
        <f>VLOOKUP(A364,Participants!$A$2:$B$86,2,FALSE)</f>
        <v/>
      </c>
    </row>
    <row r="365">
      <c r="A365" t="inlineStr">
        <is>
          <t>user_0119</t>
        </is>
      </c>
      <c r="B365" t="inlineStr">
        <is>
          <t>E5</t>
        </is>
      </c>
      <c r="C365" t="inlineStr">
        <is>
          <t>C1</t>
        </is>
      </c>
      <c r="D365" t="n">
        <v>3</v>
      </c>
      <c r="E365" t="inlineStr">
        <is>
          <t>2026-03-26T15:41:33.729231+00:00</t>
        </is>
      </c>
      <c r="F365" t="inlineStr">
        <is>
          <t>2026-03-26T15:41:33.757446+00:00</t>
        </is>
      </c>
      <c r="G365" t="n">
        <v>7</v>
      </c>
      <c r="H365" t="n">
        <v>208.25</v>
      </c>
      <c r="I365" t="n">
        <v>2</v>
      </c>
      <c r="J365" t="n">
        <v>1</v>
      </c>
      <c r="K365" t="n">
        <v>1</v>
      </c>
      <c r="M365" t="inlineStr">
        <is>
          <t>matches_completely</t>
        </is>
      </c>
      <c r="N365" t="n">
        <v>3</v>
      </c>
      <c r="O365" t="inlineStr">
        <is>
          <t>yes</t>
        </is>
      </c>
      <c r="Q365" t="inlineStr">
        <is>
          <t>correct</t>
        </is>
      </c>
      <c r="R365" t="inlineStr">
        <is>
          <t>correct</t>
        </is>
      </c>
      <c r="S365" t="inlineStr">
        <is>
          <t>matches_completely</t>
        </is>
      </c>
      <c r="T365" t="inlineStr">
        <is>
          <t>correct</t>
        </is>
      </c>
      <c r="U365">
        <f>IF(T365="correct",1,0)</f>
        <v/>
      </c>
      <c r="V365">
        <f>VLOOKUP(A365,Participants!$A$2:$B$86,2,FALSE)</f>
        <v/>
      </c>
    </row>
    <row r="366">
      <c r="A366" t="inlineStr">
        <is>
          <t>user_0119</t>
        </is>
      </c>
      <c r="B366" t="inlineStr">
        <is>
          <t>E4</t>
        </is>
      </c>
      <c r="C366" t="inlineStr">
        <is>
          <t>C2</t>
        </is>
      </c>
      <c r="D366" t="n">
        <v>4</v>
      </c>
      <c r="E366" t="inlineStr">
        <is>
          <t>2026-03-26T15:43:47.655922+00:00</t>
        </is>
      </c>
      <c r="F366" t="inlineStr">
        <is>
          <t>2026-03-26T15:43:47.677522+00:00</t>
        </is>
      </c>
      <c r="G366" t="n">
        <v>4</v>
      </c>
      <c r="H366" t="n">
        <v>32.97</v>
      </c>
      <c r="I366" t="n">
        <v>1</v>
      </c>
      <c r="J366" t="n">
        <v>1</v>
      </c>
      <c r="K366" t="n">
        <v>1</v>
      </c>
      <c r="M366" t="inlineStr">
        <is>
          <t>matches_completely</t>
        </is>
      </c>
      <c r="N366" t="n">
        <v>3</v>
      </c>
      <c r="O366" t="inlineStr">
        <is>
          <t>yes</t>
        </is>
      </c>
      <c r="Q366" t="inlineStr">
        <is>
          <t>correct</t>
        </is>
      </c>
      <c r="R366" t="inlineStr">
        <is>
          <t>correct</t>
        </is>
      </c>
      <c r="S366" t="inlineStr">
        <is>
          <t>matches_completely</t>
        </is>
      </c>
      <c r="T366" t="inlineStr">
        <is>
          <t>correct</t>
        </is>
      </c>
      <c r="U366">
        <f>IF(T366="correct",1,0)</f>
        <v/>
      </c>
      <c r="V366">
        <f>VLOOKUP(A366,Participants!$A$2:$B$86,2,FALSE)</f>
        <v/>
      </c>
    </row>
    <row r="367">
      <c r="A367" t="inlineStr">
        <is>
          <t>user_0119</t>
        </is>
      </c>
      <c r="B367" t="inlineStr">
        <is>
          <t>E6</t>
        </is>
      </c>
      <c r="C367" t="inlineStr">
        <is>
          <t>C3</t>
        </is>
      </c>
      <c r="D367" t="n">
        <v>5</v>
      </c>
      <c r="E367" t="inlineStr">
        <is>
          <t>2026-03-26T15:46:24.687201+00:00</t>
        </is>
      </c>
      <c r="F367" t="inlineStr">
        <is>
          <t>2026-03-26T15:46:24.708490+00:00</t>
        </is>
      </c>
      <c r="G367" t="n">
        <v>4</v>
      </c>
      <c r="H367" t="n">
        <v>50.09</v>
      </c>
      <c r="I367" t="n">
        <v>1</v>
      </c>
      <c r="J367" t="n">
        <v>1</v>
      </c>
      <c r="K367" t="n">
        <v>1</v>
      </c>
      <c r="M367" t="inlineStr">
        <is>
          <t>matches_completely</t>
        </is>
      </c>
      <c r="N367" t="n">
        <v>3</v>
      </c>
      <c r="O367" t="inlineStr">
        <is>
          <t>yes</t>
        </is>
      </c>
      <c r="Q367" t="inlineStr">
        <is>
          <t>correct</t>
        </is>
      </c>
      <c r="R367" t="inlineStr">
        <is>
          <t>correct</t>
        </is>
      </c>
      <c r="S367" t="inlineStr">
        <is>
          <t>matches_completely</t>
        </is>
      </c>
      <c r="T367" t="inlineStr">
        <is>
          <t>correct</t>
        </is>
      </c>
      <c r="U367">
        <f>IF(T367="correct",1,0)</f>
        <v/>
      </c>
      <c r="V367">
        <f>VLOOKUP(A367,Participants!$A$2:$B$86,2,FALSE)</f>
        <v/>
      </c>
    </row>
    <row r="368">
      <c r="A368" t="inlineStr">
        <is>
          <t>user_0120</t>
        </is>
      </c>
      <c r="B368" t="inlineStr">
        <is>
          <t>E2</t>
        </is>
      </c>
      <c r="C368" t="inlineStr">
        <is>
          <t>C1</t>
        </is>
      </c>
      <c r="D368" t="n">
        <v>0</v>
      </c>
      <c r="E368" t="inlineStr">
        <is>
          <t>2026-03-26T09:19:44.152594+00:00</t>
        </is>
      </c>
      <c r="F368" t="inlineStr">
        <is>
          <t>2026-03-26T09:19:44.171963+00:00</t>
        </is>
      </c>
      <c r="G368" t="n">
        <v>4</v>
      </c>
      <c r="H368" t="n">
        <v>601.62</v>
      </c>
      <c r="I368" t="n">
        <v>1</v>
      </c>
      <c r="J368" t="n">
        <v>1</v>
      </c>
      <c r="K368" t="n">
        <v>1</v>
      </c>
      <c r="M368" t="inlineStr">
        <is>
          <t>partially</t>
        </is>
      </c>
      <c r="N368" t="n">
        <v>3</v>
      </c>
      <c r="O368" t="inlineStr">
        <is>
          <t>yes</t>
        </is>
      </c>
      <c r="Q368" t="inlineStr">
        <is>
          <t>correct</t>
        </is>
      </c>
      <c r="R368" t="inlineStr">
        <is>
          <t>correct</t>
        </is>
      </c>
      <c r="S368" t="inlineStr">
        <is>
          <t>matches_completely</t>
        </is>
      </c>
      <c r="T368" t="inlineStr">
        <is>
          <t>correct</t>
        </is>
      </c>
      <c r="U368">
        <f>IF(T368="correct",1,0)</f>
        <v/>
      </c>
      <c r="V368">
        <f>VLOOKUP(A368,Participants!$A$2:$B$86,2,FALSE)</f>
        <v/>
      </c>
    </row>
    <row r="369">
      <c r="A369" t="inlineStr">
        <is>
          <t>user_0120</t>
        </is>
      </c>
      <c r="B369" t="inlineStr">
        <is>
          <t>E1</t>
        </is>
      </c>
      <c r="C369" t="inlineStr">
        <is>
          <t>C2</t>
        </is>
      </c>
      <c r="D369" t="n">
        <v>1</v>
      </c>
      <c r="E369" t="inlineStr">
        <is>
          <t>2026-03-26T09:22:33.583172+00:00</t>
        </is>
      </c>
      <c r="F369" t="inlineStr">
        <is>
          <t>2026-03-26T09:22:33.604919+00:00</t>
        </is>
      </c>
      <c r="G369" t="n">
        <v>4</v>
      </c>
      <c r="H369" t="n">
        <v>101.14</v>
      </c>
      <c r="I369" t="n">
        <v>1</v>
      </c>
      <c r="J369" t="n">
        <v>1</v>
      </c>
      <c r="K369" t="n">
        <v>1</v>
      </c>
      <c r="M369" t="inlineStr">
        <is>
          <t>matches_completely</t>
        </is>
      </c>
      <c r="N369" t="n">
        <v>4</v>
      </c>
      <c r="O369" t="inlineStr">
        <is>
          <t>yes</t>
        </is>
      </c>
      <c r="Q369" t="inlineStr">
        <is>
          <t>correct</t>
        </is>
      </c>
      <c r="R369" t="inlineStr">
        <is>
          <t>correct</t>
        </is>
      </c>
      <c r="S369" t="inlineStr">
        <is>
          <t>matches_completely</t>
        </is>
      </c>
      <c r="T369" t="inlineStr">
        <is>
          <t>correct</t>
        </is>
      </c>
      <c r="U369">
        <f>IF(T369="correct",1,0)</f>
        <v/>
      </c>
      <c r="V369">
        <f>VLOOKUP(A369,Participants!$A$2:$B$86,2,FALSE)</f>
        <v/>
      </c>
    </row>
    <row r="370">
      <c r="A370" t="inlineStr">
        <is>
          <t>user_0120</t>
        </is>
      </c>
      <c r="B370" t="inlineStr">
        <is>
          <t>E3</t>
        </is>
      </c>
      <c r="C370" t="inlineStr">
        <is>
          <t>C3</t>
        </is>
      </c>
      <c r="D370" t="n">
        <v>2</v>
      </c>
      <c r="E370" t="inlineStr">
        <is>
          <t>2026-03-26T09:25:04.435106+00:00</t>
        </is>
      </c>
      <c r="F370" t="inlineStr">
        <is>
          <t>2026-03-26T09:25:04.454327+00:00</t>
        </is>
      </c>
      <c r="G370" t="n">
        <v>4</v>
      </c>
      <c r="H370" t="n">
        <v>91.55</v>
      </c>
      <c r="I370" t="n">
        <v>1</v>
      </c>
      <c r="J370" t="n">
        <v>1</v>
      </c>
      <c r="K370" t="n">
        <v>1</v>
      </c>
      <c r="M370" t="inlineStr">
        <is>
          <t>matches_completely</t>
        </is>
      </c>
      <c r="N370" t="n">
        <v>4</v>
      </c>
      <c r="O370" t="inlineStr">
        <is>
          <t>yes</t>
        </is>
      </c>
      <c r="Q370" t="inlineStr">
        <is>
          <t>correct</t>
        </is>
      </c>
      <c r="R370" t="inlineStr">
        <is>
          <t>correct</t>
        </is>
      </c>
      <c r="S370" t="inlineStr">
        <is>
          <t>matches_completely</t>
        </is>
      </c>
      <c r="T370" t="inlineStr">
        <is>
          <t>correct</t>
        </is>
      </c>
      <c r="U370">
        <f>IF(T370="correct",1,0)</f>
        <v/>
      </c>
      <c r="V370">
        <f>VLOOKUP(A370,Participants!$A$2:$B$86,2,FALSE)</f>
        <v/>
      </c>
    </row>
    <row r="371">
      <c r="A371" t="inlineStr">
        <is>
          <t>user_0120</t>
        </is>
      </c>
      <c r="B371" t="inlineStr">
        <is>
          <t>E5</t>
        </is>
      </c>
      <c r="C371" t="inlineStr">
        <is>
          <t>C1</t>
        </is>
      </c>
      <c r="D371" t="n">
        <v>3</v>
      </c>
      <c r="E371" t="inlineStr">
        <is>
          <t>2026-03-26T09:30:50.725652+00:00</t>
        </is>
      </c>
      <c r="F371" t="inlineStr">
        <is>
          <t>2026-03-26T09:30:50.744376+00:00</t>
        </is>
      </c>
      <c r="G371" t="n">
        <v>4</v>
      </c>
      <c r="H371" t="n">
        <v>104.25</v>
      </c>
      <c r="I371" t="n">
        <v>1</v>
      </c>
      <c r="J371" t="n">
        <v>1</v>
      </c>
      <c r="K371" t="n">
        <v>1</v>
      </c>
      <c r="M371" t="inlineStr">
        <is>
          <t>matches_completely</t>
        </is>
      </c>
      <c r="N371" t="n">
        <v>4</v>
      </c>
      <c r="O371" t="inlineStr">
        <is>
          <t>yes</t>
        </is>
      </c>
      <c r="Q371" t="inlineStr">
        <is>
          <t>correct</t>
        </is>
      </c>
      <c r="R371" t="inlineStr">
        <is>
          <t>correct</t>
        </is>
      </c>
      <c r="S371" t="inlineStr">
        <is>
          <t>matches_completely</t>
        </is>
      </c>
      <c r="T371" t="inlineStr">
        <is>
          <t>correct</t>
        </is>
      </c>
      <c r="U371">
        <f>IF(T371="correct",1,0)</f>
        <v/>
      </c>
      <c r="V371">
        <f>VLOOKUP(A371,Participants!$A$2:$B$86,2,FALSE)</f>
        <v/>
      </c>
    </row>
    <row r="372">
      <c r="A372" t="inlineStr">
        <is>
          <t>user_0120</t>
        </is>
      </c>
      <c r="B372" t="inlineStr">
        <is>
          <t>E4</t>
        </is>
      </c>
      <c r="C372" t="inlineStr">
        <is>
          <t>C2</t>
        </is>
      </c>
      <c r="D372" t="n">
        <v>4</v>
      </c>
      <c r="E372" t="inlineStr">
        <is>
          <t>2026-03-26T09:36:18.750021+00:00</t>
        </is>
      </c>
      <c r="F372" t="inlineStr">
        <is>
          <t>2026-03-26T09:36:18.771557+00:00</t>
        </is>
      </c>
      <c r="G372" t="n">
        <v>4</v>
      </c>
      <c r="H372" t="n">
        <v>300.67</v>
      </c>
      <c r="I372" t="n">
        <v>1</v>
      </c>
      <c r="J372" t="n">
        <v>1</v>
      </c>
      <c r="K372" t="n">
        <v>1</v>
      </c>
      <c r="M372" t="inlineStr">
        <is>
          <t>matches_completely</t>
        </is>
      </c>
      <c r="N372" t="n">
        <v>4</v>
      </c>
      <c r="O372" t="inlineStr">
        <is>
          <t>yes</t>
        </is>
      </c>
      <c r="Q372" t="inlineStr">
        <is>
          <t>correct</t>
        </is>
      </c>
      <c r="R372" t="inlineStr">
        <is>
          <t>correct</t>
        </is>
      </c>
      <c r="S372" t="inlineStr">
        <is>
          <t>matches_completely</t>
        </is>
      </c>
      <c r="T372" t="inlineStr">
        <is>
          <t>correct</t>
        </is>
      </c>
      <c r="U372">
        <f>IF(T372="correct",1,0)</f>
        <v/>
      </c>
      <c r="V372">
        <f>VLOOKUP(A372,Participants!$A$2:$B$86,2,FALSE)</f>
        <v/>
      </c>
    </row>
    <row r="373">
      <c r="A373" t="inlineStr">
        <is>
          <t>user_0120</t>
        </is>
      </c>
      <c r="B373" t="inlineStr">
        <is>
          <t>E6</t>
        </is>
      </c>
      <c r="C373" t="inlineStr">
        <is>
          <t>C3</t>
        </is>
      </c>
      <c r="D373" t="n">
        <v>5</v>
      </c>
      <c r="E373" t="inlineStr">
        <is>
          <t>2026-03-26T09:38:24.129806+00:00</t>
        </is>
      </c>
      <c r="F373" t="inlineStr">
        <is>
          <t>2026-03-26T09:38:24.147341+00:00</t>
        </is>
      </c>
      <c r="G373" t="n">
        <v>4</v>
      </c>
      <c r="H373" t="n">
        <v>88.28</v>
      </c>
      <c r="I373" t="n">
        <v>1</v>
      </c>
      <c r="J373" t="n">
        <v>1</v>
      </c>
      <c r="K373" t="n">
        <v>1</v>
      </c>
      <c r="M373" t="inlineStr">
        <is>
          <t>matches_completely</t>
        </is>
      </c>
      <c r="N373" t="n">
        <v>4</v>
      </c>
      <c r="O373" t="inlineStr">
        <is>
          <t>yes</t>
        </is>
      </c>
      <c r="Q373" t="inlineStr">
        <is>
          <t>correct</t>
        </is>
      </c>
      <c r="R373" t="inlineStr">
        <is>
          <t>correct</t>
        </is>
      </c>
      <c r="S373" t="inlineStr">
        <is>
          <t>matches_completely</t>
        </is>
      </c>
      <c r="T373" t="inlineStr">
        <is>
          <t>correct</t>
        </is>
      </c>
      <c r="U373">
        <f>IF(T373="correct",1,0)</f>
        <v/>
      </c>
      <c r="V373">
        <f>VLOOKUP(A373,Participants!$A$2:$B$86,2,FALSE)</f>
        <v/>
      </c>
    </row>
    <row r="374">
      <c r="A374" t="inlineStr">
        <is>
          <t>user_0121</t>
        </is>
      </c>
      <c r="B374" t="inlineStr">
        <is>
          <t>E2</t>
        </is>
      </c>
      <c r="C374" t="inlineStr">
        <is>
          <t>C1</t>
        </is>
      </c>
      <c r="D374" t="n">
        <v>0</v>
      </c>
      <c r="E374" t="inlineStr">
        <is>
          <t>2026-03-25T15:39:05.782239+00:00</t>
        </is>
      </c>
      <c r="F374" t="inlineStr">
        <is>
          <t>2026-03-25T15:39:05.805030+00:00</t>
        </is>
      </c>
      <c r="G374" t="n">
        <v>4</v>
      </c>
      <c r="H374" t="n">
        <v>68.58</v>
      </c>
      <c r="I374" t="n">
        <v>1</v>
      </c>
      <c r="J374" t="n">
        <v>1</v>
      </c>
      <c r="K374" t="n">
        <v>1</v>
      </c>
      <c r="M374" t="inlineStr">
        <is>
          <t>matches_completely</t>
        </is>
      </c>
      <c r="N374" t="n">
        <v>4</v>
      </c>
      <c r="O374" t="inlineStr">
        <is>
          <t>yes</t>
        </is>
      </c>
      <c r="Q374" t="inlineStr">
        <is>
          <t>correct</t>
        </is>
      </c>
      <c r="R374" t="inlineStr">
        <is>
          <t>correct</t>
        </is>
      </c>
      <c r="S374" t="inlineStr">
        <is>
          <t>matches_completely</t>
        </is>
      </c>
      <c r="T374" t="inlineStr">
        <is>
          <t>correct</t>
        </is>
      </c>
      <c r="U374">
        <f>IF(T374="correct",1,0)</f>
        <v/>
      </c>
      <c r="V374">
        <f>VLOOKUP(A374,Participants!$A$2:$B$86,2,FALSE)</f>
        <v/>
      </c>
    </row>
    <row r="375">
      <c r="A375" t="inlineStr">
        <is>
          <t>user_0121</t>
        </is>
      </c>
      <c r="B375" t="inlineStr">
        <is>
          <t>E1</t>
        </is>
      </c>
      <c r="C375" t="inlineStr">
        <is>
          <t>C2</t>
        </is>
      </c>
      <c r="D375" t="n">
        <v>1</v>
      </c>
      <c r="E375" t="inlineStr">
        <is>
          <t>2026-03-25T15:43:28.897498+00:00</t>
        </is>
      </c>
      <c r="F375" t="inlineStr">
        <is>
          <t>2026-03-25T15:43:28.922803+00:00</t>
        </is>
      </c>
      <c r="G375" t="n">
        <v>4</v>
      </c>
      <c r="H375" t="n">
        <v>36.58</v>
      </c>
      <c r="I375" t="n">
        <v>3</v>
      </c>
      <c r="J375" t="n">
        <v>1</v>
      </c>
      <c r="K375" t="n">
        <v>1</v>
      </c>
      <c r="M375" t="inlineStr">
        <is>
          <t>matches_completely</t>
        </is>
      </c>
      <c r="N375" t="n">
        <v>4</v>
      </c>
      <c r="O375" t="inlineStr">
        <is>
          <t>yes</t>
        </is>
      </c>
      <c r="Q375" t="inlineStr">
        <is>
          <t>correct</t>
        </is>
      </c>
      <c r="R375" t="inlineStr">
        <is>
          <t>correct</t>
        </is>
      </c>
      <c r="S375" t="inlineStr">
        <is>
          <t>matches_completely</t>
        </is>
      </c>
      <c r="T375" t="inlineStr">
        <is>
          <t>correct</t>
        </is>
      </c>
      <c r="U375">
        <f>IF(T375="correct",1,0)</f>
        <v/>
      </c>
      <c r="V375">
        <f>VLOOKUP(A375,Participants!$A$2:$B$86,2,FALSE)</f>
        <v/>
      </c>
    </row>
    <row r="376">
      <c r="A376" t="inlineStr">
        <is>
          <t>user_0121</t>
        </is>
      </c>
      <c r="B376" t="inlineStr">
        <is>
          <t>E3</t>
        </is>
      </c>
      <c r="C376" t="inlineStr">
        <is>
          <t>C3</t>
        </is>
      </c>
      <c r="D376" t="n">
        <v>2</v>
      </c>
      <c r="E376" t="inlineStr">
        <is>
          <t>2026-03-25T15:46:16.470526+00:00</t>
        </is>
      </c>
      <c r="F376" t="inlineStr">
        <is>
          <t>2026-03-25T15:46:16.492220+00:00</t>
        </is>
      </c>
      <c r="G376" t="n">
        <v>7</v>
      </c>
      <c r="H376" t="n">
        <v>112.17</v>
      </c>
      <c r="I376" t="n">
        <v>2</v>
      </c>
      <c r="J376" t="n">
        <v>1</v>
      </c>
      <c r="K376" t="n">
        <v>1</v>
      </c>
      <c r="M376" t="inlineStr">
        <is>
          <t>matches_completely</t>
        </is>
      </c>
      <c r="N376" t="n">
        <v>3</v>
      </c>
      <c r="O376" t="inlineStr">
        <is>
          <t>yes</t>
        </is>
      </c>
      <c r="Q376" t="inlineStr">
        <is>
          <t>correct</t>
        </is>
      </c>
      <c r="R376" t="inlineStr">
        <is>
          <t>correct</t>
        </is>
      </c>
      <c r="S376" t="inlineStr">
        <is>
          <t>matches_completely</t>
        </is>
      </c>
      <c r="T376" t="inlineStr">
        <is>
          <t>correct</t>
        </is>
      </c>
      <c r="U376">
        <f>IF(T376="correct",1,0)</f>
        <v/>
      </c>
      <c r="V376">
        <f>VLOOKUP(A376,Participants!$A$2:$B$86,2,FALSE)</f>
        <v/>
      </c>
    </row>
    <row r="377">
      <c r="A377" t="inlineStr">
        <is>
          <t>user_0121</t>
        </is>
      </c>
      <c r="B377" t="inlineStr">
        <is>
          <t>E5</t>
        </is>
      </c>
      <c r="C377" t="inlineStr">
        <is>
          <t>C1</t>
        </is>
      </c>
      <c r="D377" t="n">
        <v>3</v>
      </c>
      <c r="E377" t="inlineStr">
        <is>
          <t>2026-03-25T15:48:06.401973+00:00</t>
        </is>
      </c>
      <c r="F377" t="inlineStr">
        <is>
          <t>2026-03-25T15:48:06.428921+00:00</t>
        </is>
      </c>
      <c r="G377" t="n">
        <v>9</v>
      </c>
      <c r="H377" t="n">
        <v>92.45</v>
      </c>
      <c r="I377" t="n">
        <v>2</v>
      </c>
      <c r="J377" t="n">
        <v>1</v>
      </c>
      <c r="K377" t="n">
        <v>1</v>
      </c>
      <c r="M377" t="inlineStr">
        <is>
          <t>partially</t>
        </is>
      </c>
      <c r="N377" t="n">
        <v>3</v>
      </c>
      <c r="O377" t="inlineStr">
        <is>
          <t>yes</t>
        </is>
      </c>
      <c r="Q377" t="inlineStr">
        <is>
          <t>incorrect</t>
        </is>
      </c>
      <c r="R377" t="inlineStr">
        <is>
          <t>correct</t>
        </is>
      </c>
      <c r="S377" t="inlineStr">
        <is>
          <t>matches_completely</t>
        </is>
      </c>
      <c r="T377" t="inlineStr">
        <is>
          <t>incorrect</t>
        </is>
      </c>
      <c r="U377">
        <f>IF(T377="correct",1,0)</f>
        <v/>
      </c>
      <c r="V377">
        <f>VLOOKUP(A377,Participants!$A$2:$B$86,2,FALSE)</f>
        <v/>
      </c>
    </row>
    <row r="378">
      <c r="A378" t="inlineStr">
        <is>
          <t>user_0121</t>
        </is>
      </c>
      <c r="B378" t="inlineStr">
        <is>
          <t>E4</t>
        </is>
      </c>
      <c r="C378" t="inlineStr">
        <is>
          <t>C2</t>
        </is>
      </c>
      <c r="D378" t="n">
        <v>4</v>
      </c>
      <c r="E378" t="inlineStr">
        <is>
          <t>2026-03-25T17:05:35.433493+00:00</t>
        </is>
      </c>
      <c r="F378" t="inlineStr">
        <is>
          <t>2026-03-25T17:05:35.456614+00:00</t>
        </is>
      </c>
      <c r="G378" t="n">
        <v>4</v>
      </c>
      <c r="H378" t="n">
        <v>37.55</v>
      </c>
      <c r="I378" t="n">
        <v>1</v>
      </c>
      <c r="J378" t="n">
        <v>1</v>
      </c>
      <c r="K378" t="n">
        <v>1</v>
      </c>
      <c r="M378" t="inlineStr">
        <is>
          <t>matches_completely</t>
        </is>
      </c>
      <c r="N378" t="n">
        <v>4</v>
      </c>
      <c r="O378" t="inlineStr">
        <is>
          <t>yes</t>
        </is>
      </c>
      <c r="Q378" t="inlineStr">
        <is>
          <t>correct</t>
        </is>
      </c>
      <c r="R378" t="inlineStr">
        <is>
          <t>correct</t>
        </is>
      </c>
      <c r="S378" t="inlineStr">
        <is>
          <t>matches_completely</t>
        </is>
      </c>
      <c r="T378" t="inlineStr">
        <is>
          <t>correct</t>
        </is>
      </c>
      <c r="U378">
        <f>IF(T378="correct",1,0)</f>
        <v/>
      </c>
      <c r="V378">
        <f>VLOOKUP(A378,Participants!$A$2:$B$86,2,FALSE)</f>
        <v/>
      </c>
    </row>
    <row r="379">
      <c r="A379" t="inlineStr">
        <is>
          <t>user_0121</t>
        </is>
      </c>
      <c r="B379" t="inlineStr">
        <is>
          <t>E6</t>
        </is>
      </c>
      <c r="C379" t="inlineStr">
        <is>
          <t>C3</t>
        </is>
      </c>
      <c r="D379" t="n">
        <v>5</v>
      </c>
      <c r="E379" t="inlineStr">
        <is>
          <t>2026-03-25T17:10:28.712763+00:00</t>
        </is>
      </c>
      <c r="F379" t="inlineStr">
        <is>
          <t>2026-03-25T17:14:14.371650+00:00</t>
        </is>
      </c>
      <c r="G379" t="n">
        <v>5</v>
      </c>
      <c r="H379" t="n">
        <v>26.06</v>
      </c>
      <c r="I379" t="n">
        <v>3</v>
      </c>
      <c r="J379" t="n">
        <v>1</v>
      </c>
      <c r="K379" t="n">
        <v>1</v>
      </c>
      <c r="M379" t="inlineStr">
        <is>
          <t>matches_completely</t>
        </is>
      </c>
      <c r="N379" t="n">
        <v>3</v>
      </c>
      <c r="O379" t="inlineStr">
        <is>
          <t>yes</t>
        </is>
      </c>
      <c r="Q379" t="inlineStr">
        <is>
          <t>correct</t>
        </is>
      </c>
      <c r="R379" t="inlineStr">
        <is>
          <t>correct</t>
        </is>
      </c>
      <c r="S379" t="inlineStr">
        <is>
          <t>matches_completely</t>
        </is>
      </c>
      <c r="T379" t="inlineStr">
        <is>
          <t>correct</t>
        </is>
      </c>
      <c r="U379">
        <f>IF(T379="correct",1,0)</f>
        <v/>
      </c>
      <c r="V379">
        <f>VLOOKUP(A379,Participants!$A$2:$B$86,2,FALSE)</f>
        <v/>
      </c>
    </row>
    <row r="380">
      <c r="A380" t="inlineStr">
        <is>
          <t>user_0123</t>
        </is>
      </c>
      <c r="B380" t="inlineStr">
        <is>
          <t>E2</t>
        </is>
      </c>
      <c r="C380" t="inlineStr">
        <is>
          <t>C1</t>
        </is>
      </c>
      <c r="D380" t="n">
        <v>0</v>
      </c>
      <c r="E380" t="inlineStr">
        <is>
          <t>2026-03-26T12:03:41.307962+00:00</t>
        </is>
      </c>
      <c r="F380" t="inlineStr">
        <is>
          <t>2026-03-26T12:03:41.330147+00:00</t>
        </is>
      </c>
      <c r="G380" t="n">
        <v>10</v>
      </c>
      <c r="H380" t="n">
        <v>1561.09</v>
      </c>
      <c r="I380" t="n">
        <v>3</v>
      </c>
      <c r="J380" t="n">
        <v>1</v>
      </c>
      <c r="K380" t="n">
        <v>1</v>
      </c>
      <c r="M380" t="inlineStr">
        <is>
          <t>matches_completely</t>
        </is>
      </c>
      <c r="N380" t="n">
        <v>4</v>
      </c>
      <c r="O380" t="inlineStr">
        <is>
          <t>yes</t>
        </is>
      </c>
      <c r="Q380" t="inlineStr">
        <is>
          <t>correct</t>
        </is>
      </c>
      <c r="R380" t="inlineStr">
        <is>
          <t>correct</t>
        </is>
      </c>
      <c r="S380" t="inlineStr">
        <is>
          <t>matches_completely</t>
        </is>
      </c>
      <c r="T380" t="inlineStr">
        <is>
          <t>correct</t>
        </is>
      </c>
      <c r="U380">
        <f>IF(T380="correct",1,0)</f>
        <v/>
      </c>
      <c r="V380">
        <f>VLOOKUP(A380,Participants!$A$2:$B$86,2,FALSE)</f>
        <v/>
      </c>
    </row>
    <row r="381">
      <c r="A381" t="inlineStr">
        <is>
          <t>user_0123</t>
        </is>
      </c>
      <c r="B381" t="inlineStr">
        <is>
          <t>E1</t>
        </is>
      </c>
      <c r="C381" t="inlineStr">
        <is>
          <t>C2</t>
        </is>
      </c>
      <c r="D381" t="n">
        <v>1</v>
      </c>
      <c r="E381" t="inlineStr">
        <is>
          <t>2026-03-26T12:08:25.764904+00:00</t>
        </is>
      </c>
      <c r="F381" t="inlineStr">
        <is>
          <t>2026-03-26T12:08:25.783054+00:00</t>
        </is>
      </c>
      <c r="G381" t="n">
        <v>4</v>
      </c>
      <c r="H381" t="n">
        <v>202.03</v>
      </c>
      <c r="I381" t="n">
        <v>1</v>
      </c>
      <c r="J381" t="n">
        <v>1</v>
      </c>
      <c r="K381" t="n">
        <v>1</v>
      </c>
      <c r="M381" t="inlineStr">
        <is>
          <t>matches_completely</t>
        </is>
      </c>
      <c r="N381" t="n">
        <v>5</v>
      </c>
      <c r="O381" t="inlineStr">
        <is>
          <t>yes</t>
        </is>
      </c>
      <c r="Q381" t="inlineStr">
        <is>
          <t>correct</t>
        </is>
      </c>
      <c r="R381" t="inlineStr">
        <is>
          <t>correct</t>
        </is>
      </c>
      <c r="S381" t="inlineStr">
        <is>
          <t>matches_completely</t>
        </is>
      </c>
      <c r="T381" t="inlineStr">
        <is>
          <t>correct</t>
        </is>
      </c>
      <c r="U381">
        <f>IF(T381="correct",1,0)</f>
        <v/>
      </c>
      <c r="V381">
        <f>VLOOKUP(A381,Participants!$A$2:$B$86,2,FALSE)</f>
        <v/>
      </c>
    </row>
    <row r="382">
      <c r="A382" t="inlineStr">
        <is>
          <t>user_0123</t>
        </is>
      </c>
      <c r="B382" t="inlineStr">
        <is>
          <t>E3</t>
        </is>
      </c>
      <c r="C382" t="inlineStr">
        <is>
          <t>C3</t>
        </is>
      </c>
      <c r="D382" t="n">
        <v>2</v>
      </c>
      <c r="E382" t="inlineStr">
        <is>
          <t>2026-03-26T12:11:11.628586+00:00</t>
        </is>
      </c>
      <c r="F382" t="inlineStr">
        <is>
          <t>2026-03-26T12:11:11.647996+00:00</t>
        </is>
      </c>
      <c r="G382" t="n">
        <v>4</v>
      </c>
      <c r="H382" t="n">
        <v>128.55</v>
      </c>
      <c r="I382" t="n">
        <v>1</v>
      </c>
      <c r="J382" t="n">
        <v>1</v>
      </c>
      <c r="K382" t="n">
        <v>1</v>
      </c>
      <c r="M382" t="inlineStr">
        <is>
          <t>matches_completely</t>
        </is>
      </c>
      <c r="N382" t="n">
        <v>5</v>
      </c>
      <c r="O382" t="inlineStr">
        <is>
          <t>yes</t>
        </is>
      </c>
      <c r="Q382" t="inlineStr">
        <is>
          <t>correct</t>
        </is>
      </c>
      <c r="R382" t="inlineStr">
        <is>
          <t>correct</t>
        </is>
      </c>
      <c r="S382" t="inlineStr">
        <is>
          <t>matches_completely</t>
        </is>
      </c>
      <c r="T382" t="inlineStr">
        <is>
          <t>correct</t>
        </is>
      </c>
      <c r="U382">
        <f>IF(T382="correct",1,0)</f>
        <v/>
      </c>
      <c r="V382">
        <f>VLOOKUP(A382,Participants!$A$2:$B$86,2,FALSE)</f>
        <v/>
      </c>
    </row>
    <row r="383">
      <c r="A383" t="inlineStr">
        <is>
          <t>user_0123</t>
        </is>
      </c>
      <c r="B383" t="inlineStr">
        <is>
          <t>E5</t>
        </is>
      </c>
      <c r="C383" t="inlineStr">
        <is>
          <t>C1</t>
        </is>
      </c>
      <c r="D383" t="n">
        <v>3</v>
      </c>
      <c r="E383" t="inlineStr">
        <is>
          <t>2026-03-26T12:22:44.357078+00:00</t>
        </is>
      </c>
      <c r="F383" t="inlineStr">
        <is>
          <t>2026-03-26T12:22:44.379502+00:00</t>
        </is>
      </c>
      <c r="G383" t="n">
        <v>4</v>
      </c>
      <c r="H383" t="n">
        <v>216.08</v>
      </c>
      <c r="I383" t="n">
        <v>1</v>
      </c>
      <c r="J383" t="n">
        <v>1</v>
      </c>
      <c r="K383" t="n">
        <v>1</v>
      </c>
      <c r="M383" t="inlineStr">
        <is>
          <t>matches_completely</t>
        </is>
      </c>
      <c r="N383" t="n">
        <v>5</v>
      </c>
      <c r="O383" t="inlineStr">
        <is>
          <t>yes</t>
        </is>
      </c>
      <c r="Q383" t="inlineStr">
        <is>
          <t>correct</t>
        </is>
      </c>
      <c r="R383" t="inlineStr">
        <is>
          <t>correct</t>
        </is>
      </c>
      <c r="S383" t="inlineStr">
        <is>
          <t>matches_completely</t>
        </is>
      </c>
      <c r="T383" t="inlineStr">
        <is>
          <t>correct</t>
        </is>
      </c>
      <c r="U383">
        <f>IF(T383="correct",1,0)</f>
        <v/>
      </c>
      <c r="V383">
        <f>VLOOKUP(A383,Participants!$A$2:$B$86,2,FALSE)</f>
        <v/>
      </c>
    </row>
    <row r="384">
      <c r="A384" t="inlineStr">
        <is>
          <t>user_0123</t>
        </is>
      </c>
      <c r="B384" t="inlineStr">
        <is>
          <t>E4</t>
        </is>
      </c>
      <c r="C384" t="inlineStr">
        <is>
          <t>C2</t>
        </is>
      </c>
      <c r="D384" t="n">
        <v>4</v>
      </c>
      <c r="E384" t="inlineStr">
        <is>
          <t>2026-03-26T12:32:16.353249+00:00</t>
        </is>
      </c>
      <c r="F384" t="inlineStr">
        <is>
          <t>2026-03-26T12:32:16.377745+00:00</t>
        </is>
      </c>
      <c r="G384" t="n">
        <v>4</v>
      </c>
      <c r="H384" t="n">
        <v>275.8</v>
      </c>
      <c r="I384" t="n">
        <v>2</v>
      </c>
      <c r="J384" t="n">
        <v>1</v>
      </c>
      <c r="K384" t="n">
        <v>1</v>
      </c>
      <c r="M384" t="inlineStr">
        <is>
          <t>matches_completely</t>
        </is>
      </c>
      <c r="N384" t="n">
        <v>5</v>
      </c>
      <c r="O384" t="inlineStr">
        <is>
          <t>yes</t>
        </is>
      </c>
      <c r="Q384" t="inlineStr">
        <is>
          <t>correct</t>
        </is>
      </c>
      <c r="R384" t="inlineStr">
        <is>
          <t>correct</t>
        </is>
      </c>
      <c r="S384" t="inlineStr">
        <is>
          <t>matches_completely</t>
        </is>
      </c>
      <c r="T384" t="inlineStr">
        <is>
          <t>correct</t>
        </is>
      </c>
      <c r="U384">
        <f>IF(T384="correct",1,0)</f>
        <v/>
      </c>
      <c r="V384">
        <f>VLOOKUP(A384,Participants!$A$2:$B$86,2,FALSE)</f>
        <v/>
      </c>
    </row>
    <row r="385">
      <c r="A385" t="inlineStr">
        <is>
          <t>user_0123</t>
        </is>
      </c>
      <c r="B385" t="inlineStr">
        <is>
          <t>E6</t>
        </is>
      </c>
      <c r="C385" t="inlineStr">
        <is>
          <t>C3</t>
        </is>
      </c>
      <c r="D385" t="n">
        <v>5</v>
      </c>
      <c r="E385" t="inlineStr">
        <is>
          <t>2026-03-26T12:36:53.069685+00:00</t>
        </is>
      </c>
      <c r="F385" t="inlineStr">
        <is>
          <t>2026-03-26T12:36:53.088350+00:00</t>
        </is>
      </c>
      <c r="G385" t="n">
        <v>6</v>
      </c>
      <c r="H385" t="n">
        <v>131.2</v>
      </c>
      <c r="I385" t="n">
        <v>1</v>
      </c>
      <c r="J385" t="n">
        <v>1</v>
      </c>
      <c r="K385" t="n">
        <v>1</v>
      </c>
      <c r="M385" t="inlineStr">
        <is>
          <t>matches_completely</t>
        </is>
      </c>
      <c r="N385" t="n">
        <v>5</v>
      </c>
      <c r="O385" t="inlineStr">
        <is>
          <t>yes</t>
        </is>
      </c>
      <c r="Q385" t="inlineStr">
        <is>
          <t>correct</t>
        </is>
      </c>
      <c r="R385" t="inlineStr">
        <is>
          <t>correct</t>
        </is>
      </c>
      <c r="S385" t="inlineStr">
        <is>
          <t>matches_completely</t>
        </is>
      </c>
      <c r="T385" t="inlineStr">
        <is>
          <t>correct</t>
        </is>
      </c>
      <c r="U385">
        <f>IF(T385="correct",1,0)</f>
        <v/>
      </c>
      <c r="V385">
        <f>VLOOKUP(A385,Participants!$A$2:$B$86,2,FALSE)</f>
        <v/>
      </c>
    </row>
    <row r="386">
      <c r="A386" t="inlineStr">
        <is>
          <t>user_0124</t>
        </is>
      </c>
      <c r="B386" t="inlineStr">
        <is>
          <t>E2</t>
        </is>
      </c>
      <c r="C386" t="inlineStr">
        <is>
          <t>C1</t>
        </is>
      </c>
      <c r="D386" t="n">
        <v>0</v>
      </c>
      <c r="E386" t="inlineStr">
        <is>
          <t>2026-03-26T13:34:54.708119+00:00</t>
        </is>
      </c>
      <c r="F386" t="inlineStr">
        <is>
          <t>2026-03-26T13:34:54.729943+00:00</t>
        </is>
      </c>
      <c r="G386" t="n">
        <v>4</v>
      </c>
      <c r="H386" t="n">
        <v>994.02</v>
      </c>
      <c r="I386" t="n">
        <v>1</v>
      </c>
      <c r="J386" t="n">
        <v>1</v>
      </c>
      <c r="K386" t="n">
        <v>1</v>
      </c>
      <c r="M386" t="inlineStr">
        <is>
          <t>partially</t>
        </is>
      </c>
      <c r="N386" t="n">
        <v>3</v>
      </c>
      <c r="O386" t="inlineStr">
        <is>
          <t>yes</t>
        </is>
      </c>
      <c r="Q386" t="inlineStr">
        <is>
          <t>correct</t>
        </is>
      </c>
      <c r="R386" t="inlineStr">
        <is>
          <t>correct</t>
        </is>
      </c>
      <c r="S386" t="inlineStr">
        <is>
          <t>does_not_match</t>
        </is>
      </c>
      <c r="T386" t="inlineStr">
        <is>
          <t>correct</t>
        </is>
      </c>
      <c r="U386">
        <f>IF(T386="correct",1,0)</f>
        <v/>
      </c>
      <c r="V386">
        <f>VLOOKUP(A386,Participants!$A$2:$B$86,2,FALSE)</f>
        <v/>
      </c>
    </row>
    <row r="387">
      <c r="A387" t="inlineStr">
        <is>
          <t>user_0124</t>
        </is>
      </c>
      <c r="B387" t="inlineStr">
        <is>
          <t>E1</t>
        </is>
      </c>
      <c r="C387" t="inlineStr">
        <is>
          <t>C2</t>
        </is>
      </c>
      <c r="D387" t="n">
        <v>1</v>
      </c>
      <c r="E387" t="inlineStr">
        <is>
          <t>2026-03-26T13:53:03.901481+00:00</t>
        </is>
      </c>
      <c r="F387" t="inlineStr">
        <is>
          <t>2026-03-26T13:53:03.929124+00:00</t>
        </is>
      </c>
      <c r="G387" t="n">
        <v>1</v>
      </c>
      <c r="H387" t="n">
        <v>0</v>
      </c>
      <c r="I387" t="n">
        <v>2</v>
      </c>
      <c r="M387" t="inlineStr">
        <is>
          <t>partially</t>
        </is>
      </c>
      <c r="N387" t="n">
        <v>3</v>
      </c>
      <c r="O387" t="inlineStr">
        <is>
          <t>yes</t>
        </is>
      </c>
      <c r="Q387" t="inlineStr">
        <is>
          <t>correct</t>
        </is>
      </c>
      <c r="R387" t="inlineStr">
        <is>
          <t>correct</t>
        </is>
      </c>
      <c r="S387" t="inlineStr">
        <is>
          <t>partially</t>
        </is>
      </c>
      <c r="T387" t="inlineStr">
        <is>
          <t>correct</t>
        </is>
      </c>
      <c r="U387">
        <f>IF(T387="correct",1,0)</f>
        <v/>
      </c>
      <c r="V387">
        <f>VLOOKUP(A387,Participants!$A$2:$B$86,2,FALSE)</f>
        <v/>
      </c>
    </row>
    <row r="388">
      <c r="A388" t="inlineStr">
        <is>
          <t>user_0124</t>
        </is>
      </c>
      <c r="B388" t="inlineStr">
        <is>
          <t>E3</t>
        </is>
      </c>
      <c r="C388" t="inlineStr">
        <is>
          <t>C3</t>
        </is>
      </c>
      <c r="D388" t="n">
        <v>2</v>
      </c>
      <c r="E388" t="inlineStr">
        <is>
          <t>2026-03-26T13:59:06.303077+00:00</t>
        </is>
      </c>
      <c r="F388" t="inlineStr">
        <is>
          <t>2026-03-26T13:59:06.332073+00:00</t>
        </is>
      </c>
      <c r="G388" t="n">
        <v>4</v>
      </c>
      <c r="H388" t="n">
        <v>151.39</v>
      </c>
      <c r="I388" t="n">
        <v>1</v>
      </c>
      <c r="J388" t="n">
        <v>1</v>
      </c>
      <c r="K388" t="n">
        <v>1</v>
      </c>
      <c r="M388" t="inlineStr">
        <is>
          <t>matches_completely</t>
        </is>
      </c>
      <c r="N388" t="n">
        <v>4</v>
      </c>
      <c r="O388" t="inlineStr">
        <is>
          <t>yes</t>
        </is>
      </c>
      <c r="Q388" t="inlineStr">
        <is>
          <t>correct</t>
        </is>
      </c>
      <c r="R388" t="inlineStr">
        <is>
          <t>correct</t>
        </is>
      </c>
      <c r="S388" t="inlineStr">
        <is>
          <t>matches_completely</t>
        </is>
      </c>
      <c r="T388" t="inlineStr">
        <is>
          <t>correct</t>
        </is>
      </c>
      <c r="U388">
        <f>IF(T388="correct",1,0)</f>
        <v/>
      </c>
      <c r="V388">
        <f>VLOOKUP(A388,Participants!$A$2:$B$86,2,FALSE)</f>
        <v/>
      </c>
    </row>
    <row r="389">
      <c r="A389" t="inlineStr">
        <is>
          <t>user_0124</t>
        </is>
      </c>
      <c r="B389" t="inlineStr">
        <is>
          <t>E5</t>
        </is>
      </c>
      <c r="C389" t="inlineStr">
        <is>
          <t>C1</t>
        </is>
      </c>
      <c r="D389" t="n">
        <v>3</v>
      </c>
      <c r="E389" t="inlineStr">
        <is>
          <t>2026-03-26T14:07:03.545148+00:00</t>
        </is>
      </c>
      <c r="F389" t="inlineStr">
        <is>
          <t>2026-03-26T14:07:03.570270+00:00</t>
        </is>
      </c>
      <c r="G389" t="n">
        <v>7</v>
      </c>
      <c r="H389" t="n">
        <v>317.67</v>
      </c>
      <c r="I389" t="n">
        <v>2</v>
      </c>
      <c r="J389" t="n">
        <v>1</v>
      </c>
      <c r="K389" t="n">
        <v>1</v>
      </c>
      <c r="M389" t="inlineStr">
        <is>
          <t>matches_completely</t>
        </is>
      </c>
      <c r="N389" t="n">
        <v>4</v>
      </c>
      <c r="O389" t="inlineStr">
        <is>
          <t>yes</t>
        </is>
      </c>
      <c r="Q389" t="inlineStr">
        <is>
          <t>correct</t>
        </is>
      </c>
      <c r="R389" t="inlineStr">
        <is>
          <t>correct</t>
        </is>
      </c>
      <c r="S389" t="inlineStr">
        <is>
          <t>matches_completely</t>
        </is>
      </c>
      <c r="T389" t="inlineStr">
        <is>
          <t>correct</t>
        </is>
      </c>
      <c r="U389">
        <f>IF(T389="correct",1,0)</f>
        <v/>
      </c>
      <c r="V389">
        <f>VLOOKUP(A389,Participants!$A$2:$B$86,2,FALSE)</f>
        <v/>
      </c>
    </row>
    <row r="390">
      <c r="A390" t="inlineStr">
        <is>
          <t>user_0124</t>
        </is>
      </c>
      <c r="B390" t="inlineStr">
        <is>
          <t>E4</t>
        </is>
      </c>
      <c r="C390" t="inlineStr">
        <is>
          <t>C2</t>
        </is>
      </c>
      <c r="D390" t="n">
        <v>4</v>
      </c>
      <c r="E390" t="inlineStr">
        <is>
          <t>2026-03-26T14:09:47.268702+00:00</t>
        </is>
      </c>
      <c r="F390" t="inlineStr">
        <is>
          <t>2026-03-26T14:09:47.289214+00:00</t>
        </is>
      </c>
      <c r="G390" t="n">
        <v>4</v>
      </c>
      <c r="H390" t="n">
        <v>78.33</v>
      </c>
      <c r="I390" t="n">
        <v>1</v>
      </c>
      <c r="J390" t="n">
        <v>1</v>
      </c>
      <c r="K390" t="n">
        <v>1</v>
      </c>
      <c r="M390" t="inlineStr">
        <is>
          <t>matches_completely</t>
        </is>
      </c>
      <c r="N390" t="n">
        <v>4</v>
      </c>
      <c r="O390" t="inlineStr">
        <is>
          <t>yes</t>
        </is>
      </c>
      <c r="Q390" t="inlineStr">
        <is>
          <t>correct</t>
        </is>
      </c>
      <c r="R390" t="inlineStr">
        <is>
          <t>correct</t>
        </is>
      </c>
      <c r="S390" t="inlineStr">
        <is>
          <t>matches_completely</t>
        </is>
      </c>
      <c r="T390" t="inlineStr">
        <is>
          <t>correct</t>
        </is>
      </c>
      <c r="U390">
        <f>IF(T390="correct",1,0)</f>
        <v/>
      </c>
      <c r="V390">
        <f>VLOOKUP(A390,Participants!$A$2:$B$86,2,FALSE)</f>
        <v/>
      </c>
    </row>
    <row r="391">
      <c r="A391" t="inlineStr">
        <is>
          <t>user_0124</t>
        </is>
      </c>
      <c r="B391" t="inlineStr">
        <is>
          <t>E6</t>
        </is>
      </c>
      <c r="C391" t="inlineStr">
        <is>
          <t>C3</t>
        </is>
      </c>
      <c r="D391" t="n">
        <v>5</v>
      </c>
      <c r="E391" t="inlineStr">
        <is>
          <t>2026-03-26T14:11:04.430321+00:00</t>
        </is>
      </c>
      <c r="F391" t="inlineStr">
        <is>
          <t>2026-03-26T14:11:04.452988+00:00</t>
        </is>
      </c>
      <c r="G391" t="n">
        <v>4</v>
      </c>
      <c r="H391" t="n">
        <v>20.53</v>
      </c>
      <c r="I391" t="n">
        <v>1</v>
      </c>
      <c r="J391" t="n">
        <v>1</v>
      </c>
      <c r="K391" t="n">
        <v>1</v>
      </c>
      <c r="M391" t="inlineStr">
        <is>
          <t>matches_completely</t>
        </is>
      </c>
      <c r="N391" t="n">
        <v>4</v>
      </c>
      <c r="O391" t="inlineStr">
        <is>
          <t>yes</t>
        </is>
      </c>
      <c r="Q391" t="inlineStr">
        <is>
          <t>correct</t>
        </is>
      </c>
      <c r="R391" t="inlineStr">
        <is>
          <t>correct</t>
        </is>
      </c>
      <c r="S391" t="inlineStr">
        <is>
          <t>matches_completely</t>
        </is>
      </c>
      <c r="T391" t="inlineStr">
        <is>
          <t>correct</t>
        </is>
      </c>
      <c r="U391">
        <f>IF(T391="correct",1,0)</f>
        <v/>
      </c>
      <c r="V391">
        <f>VLOOKUP(A391,Participants!$A$2:$B$86,2,FALSE)</f>
        <v/>
      </c>
    </row>
    <row r="392">
      <c r="A392" t="inlineStr">
        <is>
          <t>user_0125</t>
        </is>
      </c>
      <c r="B392" t="inlineStr">
        <is>
          <t>E2</t>
        </is>
      </c>
      <c r="C392" t="inlineStr">
        <is>
          <t>C1</t>
        </is>
      </c>
      <c r="D392" t="n">
        <v>0</v>
      </c>
      <c r="E392" t="inlineStr">
        <is>
          <t>2026-03-25T21:44:55.206783+00:00</t>
        </is>
      </c>
      <c r="F392" t="inlineStr">
        <is>
          <t>2026-03-25T21:44:55.225991+00:00</t>
        </is>
      </c>
      <c r="G392" t="n">
        <v>4</v>
      </c>
      <c r="H392" t="n">
        <v>962.22</v>
      </c>
      <c r="I392" t="n">
        <v>1</v>
      </c>
      <c r="J392" t="n">
        <v>1</v>
      </c>
      <c r="K392" t="n">
        <v>1</v>
      </c>
      <c r="M392" t="inlineStr">
        <is>
          <t>partially</t>
        </is>
      </c>
      <c r="N392" t="n">
        <v>3</v>
      </c>
      <c r="O392" t="inlineStr">
        <is>
          <t>yes</t>
        </is>
      </c>
      <c r="Q392" t="inlineStr">
        <is>
          <t>correct</t>
        </is>
      </c>
      <c r="R392" t="inlineStr">
        <is>
          <t>correct</t>
        </is>
      </c>
      <c r="S392" t="inlineStr">
        <is>
          <t>matches_completely</t>
        </is>
      </c>
      <c r="T392" t="inlineStr">
        <is>
          <t>correct</t>
        </is>
      </c>
      <c r="U392">
        <f>IF(T392="correct",1,0)</f>
        <v/>
      </c>
      <c r="V392">
        <f>VLOOKUP(A392,Participants!$A$2:$B$86,2,FALSE)</f>
        <v/>
      </c>
    </row>
    <row r="393">
      <c r="A393" t="inlineStr">
        <is>
          <t>user_0125</t>
        </is>
      </c>
      <c r="B393" t="inlineStr">
        <is>
          <t>E1</t>
        </is>
      </c>
      <c r="C393" t="inlineStr">
        <is>
          <t>C2</t>
        </is>
      </c>
      <c r="D393" t="n">
        <v>1</v>
      </c>
      <c r="E393" t="inlineStr">
        <is>
          <t>2026-03-25T22:01:31.373064+00:00</t>
        </is>
      </c>
      <c r="F393" t="inlineStr">
        <is>
          <t>2026-03-25T22:01:31.396535+00:00</t>
        </is>
      </c>
      <c r="G393" t="n">
        <v>10</v>
      </c>
      <c r="H393" t="n">
        <v>624.41</v>
      </c>
      <c r="I393" t="n">
        <v>3</v>
      </c>
      <c r="J393" t="n">
        <v>1</v>
      </c>
      <c r="K393" t="n">
        <v>1</v>
      </c>
      <c r="M393" t="inlineStr">
        <is>
          <t>partially</t>
        </is>
      </c>
      <c r="N393" t="n">
        <v>4</v>
      </c>
      <c r="O393" t="inlineStr">
        <is>
          <t>yes</t>
        </is>
      </c>
      <c r="Q393" t="inlineStr">
        <is>
          <t>correct</t>
        </is>
      </c>
      <c r="R393" t="inlineStr">
        <is>
          <t>correct</t>
        </is>
      </c>
      <c r="S393" t="inlineStr">
        <is>
          <t>matches_completely</t>
        </is>
      </c>
      <c r="T393" t="inlineStr">
        <is>
          <t>correct</t>
        </is>
      </c>
      <c r="U393">
        <f>IF(T393="correct",1,0)</f>
        <v/>
      </c>
      <c r="V393">
        <f>VLOOKUP(A393,Participants!$A$2:$B$86,2,FALSE)</f>
        <v/>
      </c>
    </row>
    <row r="394">
      <c r="A394" t="inlineStr">
        <is>
          <t>user_0125</t>
        </is>
      </c>
      <c r="B394" t="inlineStr">
        <is>
          <t>E3</t>
        </is>
      </c>
      <c r="C394" t="inlineStr">
        <is>
          <t>C3</t>
        </is>
      </c>
      <c r="D394" t="n">
        <v>2</v>
      </c>
      <c r="E394" t="inlineStr">
        <is>
          <t>2026-03-25T22:13:59.474524+00:00</t>
        </is>
      </c>
      <c r="F394" t="inlineStr">
        <is>
          <t>2026-03-25T22:13:59.497676+00:00</t>
        </is>
      </c>
      <c r="G394" t="n">
        <v>8</v>
      </c>
      <c r="H394" t="n">
        <v>441.56</v>
      </c>
      <c r="I394" t="n">
        <v>3</v>
      </c>
      <c r="J394" t="n">
        <v>1</v>
      </c>
      <c r="K394" t="n">
        <v>1</v>
      </c>
      <c r="M394" t="inlineStr">
        <is>
          <t>partially</t>
        </is>
      </c>
      <c r="N394" t="n">
        <v>4</v>
      </c>
      <c r="O394" t="inlineStr">
        <is>
          <t>yes</t>
        </is>
      </c>
      <c r="Q394" t="inlineStr">
        <is>
          <t>correct</t>
        </is>
      </c>
      <c r="R394" t="inlineStr">
        <is>
          <t>correct</t>
        </is>
      </c>
      <c r="S394" t="inlineStr">
        <is>
          <t>matches_completely</t>
        </is>
      </c>
      <c r="T394" t="inlineStr">
        <is>
          <t>correct</t>
        </is>
      </c>
      <c r="U394">
        <f>IF(T394="correct",1,0)</f>
        <v/>
      </c>
      <c r="V394">
        <f>VLOOKUP(A394,Participants!$A$2:$B$86,2,FALSE)</f>
        <v/>
      </c>
    </row>
    <row r="395">
      <c r="A395" t="inlineStr">
        <is>
          <t>user_0125</t>
        </is>
      </c>
      <c r="B395" t="inlineStr">
        <is>
          <t>E5</t>
        </is>
      </c>
      <c r="C395" t="inlineStr">
        <is>
          <t>C1</t>
        </is>
      </c>
      <c r="D395" t="n">
        <v>3</v>
      </c>
      <c r="E395" t="inlineStr">
        <is>
          <t>2026-03-25T22:22:03.591355+00:00</t>
        </is>
      </c>
      <c r="F395" t="inlineStr">
        <is>
          <t>2026-03-25T22:22:03.612990+00:00</t>
        </is>
      </c>
      <c r="G395" t="n">
        <v>4</v>
      </c>
      <c r="H395" t="n">
        <v>160.53</v>
      </c>
      <c r="I395" t="n">
        <v>1</v>
      </c>
      <c r="J395" t="n">
        <v>1</v>
      </c>
      <c r="K395" t="n">
        <v>1</v>
      </c>
      <c r="M395" t="inlineStr">
        <is>
          <t>partially</t>
        </is>
      </c>
      <c r="N395" t="n">
        <v>4</v>
      </c>
      <c r="O395" t="inlineStr">
        <is>
          <t>yes</t>
        </is>
      </c>
      <c r="Q395" t="inlineStr">
        <is>
          <t>incorrect</t>
        </is>
      </c>
      <c r="R395" t="inlineStr">
        <is>
          <t>correct</t>
        </is>
      </c>
      <c r="S395" t="inlineStr">
        <is>
          <t>matches_completely</t>
        </is>
      </c>
      <c r="T395" t="inlineStr">
        <is>
          <t>incorrect</t>
        </is>
      </c>
      <c r="U395">
        <f>IF(T395="correct",1,0)</f>
        <v/>
      </c>
      <c r="V395">
        <f>VLOOKUP(A395,Participants!$A$2:$B$86,2,FALSE)</f>
        <v/>
      </c>
    </row>
    <row r="396">
      <c r="A396" t="inlineStr">
        <is>
          <t>user_0125</t>
        </is>
      </c>
      <c r="B396" t="inlineStr">
        <is>
          <t>E4</t>
        </is>
      </c>
      <c r="C396" t="inlineStr">
        <is>
          <t>C2</t>
        </is>
      </c>
      <c r="D396" t="n">
        <v>4</v>
      </c>
      <c r="E396" t="inlineStr">
        <is>
          <t>2026-03-25T22:29:18.738101+00:00</t>
        </is>
      </c>
      <c r="F396" t="inlineStr">
        <is>
          <t>2026-03-25T22:29:18.770932+00:00</t>
        </is>
      </c>
      <c r="G396" t="n">
        <v>10</v>
      </c>
      <c r="H396" t="n">
        <v>294.62</v>
      </c>
      <c r="I396" t="n">
        <v>2</v>
      </c>
      <c r="J396" t="n">
        <v>1</v>
      </c>
      <c r="K396" t="n">
        <v>1</v>
      </c>
      <c r="M396" t="inlineStr">
        <is>
          <t>matches_completely</t>
        </is>
      </c>
      <c r="N396" t="n">
        <v>5</v>
      </c>
      <c r="O396" t="inlineStr">
        <is>
          <t>yes</t>
        </is>
      </c>
      <c r="Q396" t="inlineStr">
        <is>
          <t>correct</t>
        </is>
      </c>
      <c r="R396" t="inlineStr">
        <is>
          <t>correct</t>
        </is>
      </c>
      <c r="S396" t="inlineStr">
        <is>
          <t>partially</t>
        </is>
      </c>
      <c r="T396" t="inlineStr">
        <is>
          <t>correct</t>
        </is>
      </c>
      <c r="U396">
        <f>IF(T396="correct",1,0)</f>
        <v/>
      </c>
      <c r="V396">
        <f>VLOOKUP(A396,Participants!$A$2:$B$86,2,FALSE)</f>
        <v/>
      </c>
    </row>
    <row r="397">
      <c r="A397" t="inlineStr">
        <is>
          <t>user_0125</t>
        </is>
      </c>
      <c r="B397" t="inlineStr">
        <is>
          <t>E6</t>
        </is>
      </c>
      <c r="C397" t="inlineStr">
        <is>
          <t>C3</t>
        </is>
      </c>
      <c r="D397" t="n">
        <v>5</v>
      </c>
      <c r="E397" t="inlineStr">
        <is>
          <t>2026-03-25T22:31:17.686230+00:00</t>
        </is>
      </c>
      <c r="F397" t="inlineStr">
        <is>
          <t>2026-03-25T22:31:17.705030+00:00</t>
        </is>
      </c>
      <c r="G397" t="n">
        <v>4</v>
      </c>
      <c r="H397" t="n">
        <v>45.8</v>
      </c>
      <c r="I397" t="n">
        <v>1</v>
      </c>
      <c r="J397" t="n">
        <v>1</v>
      </c>
      <c r="K397" t="n">
        <v>1</v>
      </c>
      <c r="M397" t="inlineStr">
        <is>
          <t>matches_completely</t>
        </is>
      </c>
      <c r="N397" t="n">
        <v>5</v>
      </c>
      <c r="O397" t="inlineStr">
        <is>
          <t>yes</t>
        </is>
      </c>
      <c r="Q397" t="inlineStr">
        <is>
          <t>correct</t>
        </is>
      </c>
      <c r="R397" t="inlineStr">
        <is>
          <t>correct</t>
        </is>
      </c>
      <c r="S397" t="inlineStr">
        <is>
          <t>matches_completely</t>
        </is>
      </c>
      <c r="T397" t="inlineStr">
        <is>
          <t>correct</t>
        </is>
      </c>
      <c r="U397">
        <f>IF(T397="correct",1,0)</f>
        <v/>
      </c>
      <c r="V397">
        <f>VLOOKUP(A397,Participants!$A$2:$B$86,2,FALSE)</f>
        <v/>
      </c>
    </row>
    <row r="398">
      <c r="A398" t="inlineStr">
        <is>
          <t>user_0126</t>
        </is>
      </c>
      <c r="B398" t="inlineStr">
        <is>
          <t>E2</t>
        </is>
      </c>
      <c r="C398" t="inlineStr">
        <is>
          <t>C1</t>
        </is>
      </c>
      <c r="D398" t="n">
        <v>0</v>
      </c>
      <c r="E398" t="inlineStr">
        <is>
          <t>2026-03-25T16:43:03.264328+00:00</t>
        </is>
      </c>
      <c r="F398" t="inlineStr">
        <is>
          <t>2026-03-25T16:43:03.285119+00:00</t>
        </is>
      </c>
      <c r="G398" t="n">
        <v>4</v>
      </c>
      <c r="H398" t="n">
        <v>405.83</v>
      </c>
      <c r="I398" t="n">
        <v>1</v>
      </c>
      <c r="J398" t="n">
        <v>1</v>
      </c>
      <c r="K398" t="n">
        <v>1</v>
      </c>
      <c r="M398" t="inlineStr">
        <is>
          <t>matches_completely</t>
        </is>
      </c>
      <c r="N398" t="n">
        <v>5</v>
      </c>
      <c r="O398" t="inlineStr">
        <is>
          <t>yes</t>
        </is>
      </c>
      <c r="Q398" t="inlineStr">
        <is>
          <t>correct</t>
        </is>
      </c>
      <c r="R398" t="inlineStr">
        <is>
          <t>correct</t>
        </is>
      </c>
      <c r="S398" t="inlineStr">
        <is>
          <t>matches_completely</t>
        </is>
      </c>
      <c r="T398" t="inlineStr">
        <is>
          <t>correct</t>
        </is>
      </c>
      <c r="U398">
        <f>IF(T398="correct",1,0)</f>
        <v/>
      </c>
      <c r="V398">
        <f>VLOOKUP(A398,Participants!$A$2:$B$86,2,FALSE)</f>
        <v/>
      </c>
    </row>
    <row r="399">
      <c r="A399" t="inlineStr">
        <is>
          <t>user_0126</t>
        </is>
      </c>
      <c r="B399" t="inlineStr">
        <is>
          <t>E1</t>
        </is>
      </c>
      <c r="C399" t="inlineStr">
        <is>
          <t>C2</t>
        </is>
      </c>
      <c r="D399" t="n">
        <v>1</v>
      </c>
      <c r="E399" t="inlineStr">
        <is>
          <t>2026-03-25T16:55:51.723818+00:00</t>
        </is>
      </c>
      <c r="F399" t="inlineStr">
        <is>
          <t>2026-03-25T16:55:51.748681+00:00</t>
        </is>
      </c>
      <c r="G399" t="n">
        <v>6</v>
      </c>
      <c r="H399" t="n">
        <v>394.36</v>
      </c>
      <c r="I399" t="n">
        <v>1</v>
      </c>
      <c r="J399" t="n">
        <v>1</v>
      </c>
      <c r="K399" t="n">
        <v>1</v>
      </c>
      <c r="M399" t="inlineStr">
        <is>
          <t>matches_completely</t>
        </is>
      </c>
      <c r="N399" t="n">
        <v>5</v>
      </c>
      <c r="O399" t="inlineStr">
        <is>
          <t>yes</t>
        </is>
      </c>
      <c r="Q399" t="inlineStr">
        <is>
          <t>correct</t>
        </is>
      </c>
      <c r="R399" t="inlineStr">
        <is>
          <t>correct</t>
        </is>
      </c>
      <c r="S399" t="inlineStr">
        <is>
          <t>partially</t>
        </is>
      </c>
      <c r="T399" t="inlineStr">
        <is>
          <t>correct</t>
        </is>
      </c>
      <c r="U399">
        <f>IF(T399="correct",1,0)</f>
        <v/>
      </c>
      <c r="V399">
        <f>VLOOKUP(A399,Participants!$A$2:$B$86,2,FALSE)</f>
        <v/>
      </c>
    </row>
    <row r="400">
      <c r="A400" t="inlineStr">
        <is>
          <t>user_0126</t>
        </is>
      </c>
      <c r="B400" t="inlineStr">
        <is>
          <t>E3</t>
        </is>
      </c>
      <c r="C400" t="inlineStr">
        <is>
          <t>C3</t>
        </is>
      </c>
      <c r="D400" t="n">
        <v>2</v>
      </c>
      <c r="E400" t="inlineStr">
        <is>
          <t>2026-03-25T17:08:17.617192+00:00</t>
        </is>
      </c>
      <c r="F400" t="inlineStr">
        <is>
          <t>2026-03-25T17:08:17.641764+00:00</t>
        </is>
      </c>
      <c r="G400" t="n">
        <v>8</v>
      </c>
      <c r="H400" t="n">
        <v>668.11</v>
      </c>
      <c r="I400" t="n">
        <v>2</v>
      </c>
      <c r="J400" t="n">
        <v>1</v>
      </c>
      <c r="K400" t="n">
        <v>1</v>
      </c>
      <c r="M400" t="inlineStr">
        <is>
          <t>matches_completely</t>
        </is>
      </c>
      <c r="N400" t="n">
        <v>5</v>
      </c>
      <c r="O400" t="inlineStr">
        <is>
          <t>yes</t>
        </is>
      </c>
      <c r="Q400" t="inlineStr">
        <is>
          <t>correct</t>
        </is>
      </c>
      <c r="R400" t="inlineStr">
        <is>
          <t>correct</t>
        </is>
      </c>
      <c r="S400" t="inlineStr">
        <is>
          <t>matches_completely</t>
        </is>
      </c>
      <c r="T400" t="inlineStr">
        <is>
          <t>correct</t>
        </is>
      </c>
      <c r="U400">
        <f>IF(T400="correct",1,0)</f>
        <v/>
      </c>
      <c r="V400">
        <f>VLOOKUP(A400,Participants!$A$2:$B$86,2,FALSE)</f>
        <v/>
      </c>
    </row>
    <row r="401">
      <c r="A401" t="inlineStr">
        <is>
          <t>user_0126</t>
        </is>
      </c>
      <c r="B401" t="inlineStr">
        <is>
          <t>E5</t>
        </is>
      </c>
      <c r="C401" t="inlineStr">
        <is>
          <t>C1</t>
        </is>
      </c>
      <c r="D401" t="n">
        <v>3</v>
      </c>
      <c r="E401" t="inlineStr">
        <is>
          <t>2026-03-25T17:20:11.407068+00:00</t>
        </is>
      </c>
      <c r="F401" t="inlineStr">
        <is>
          <t>2026-03-25T17:20:11.428580+00:00</t>
        </is>
      </c>
      <c r="G401" t="n">
        <v>7</v>
      </c>
      <c r="H401" t="n">
        <v>199.75</v>
      </c>
      <c r="I401" t="n">
        <v>2</v>
      </c>
      <c r="J401" t="n">
        <v>1</v>
      </c>
      <c r="K401" t="n">
        <v>1</v>
      </c>
      <c r="M401" t="inlineStr">
        <is>
          <t>matches_completely</t>
        </is>
      </c>
      <c r="N401" t="n">
        <v>5</v>
      </c>
      <c r="O401" t="inlineStr">
        <is>
          <t>yes</t>
        </is>
      </c>
      <c r="Q401" t="inlineStr">
        <is>
          <t>correct</t>
        </is>
      </c>
      <c r="R401" t="inlineStr">
        <is>
          <t>correct</t>
        </is>
      </c>
      <c r="S401" t="inlineStr">
        <is>
          <t>matches_completely</t>
        </is>
      </c>
      <c r="T401" t="inlineStr">
        <is>
          <t>correct</t>
        </is>
      </c>
      <c r="U401">
        <f>IF(T401="correct",1,0)</f>
        <v/>
      </c>
      <c r="V401">
        <f>VLOOKUP(A401,Participants!$A$2:$B$86,2,FALSE)</f>
        <v/>
      </c>
    </row>
    <row r="402">
      <c r="A402" t="inlineStr">
        <is>
          <t>user_0126</t>
        </is>
      </c>
      <c r="B402" t="inlineStr">
        <is>
          <t>E4</t>
        </is>
      </c>
      <c r="C402" t="inlineStr">
        <is>
          <t>C2</t>
        </is>
      </c>
      <c r="D402" t="n">
        <v>4</v>
      </c>
      <c r="E402" t="inlineStr">
        <is>
          <t>2026-03-25T17:31:16.332596+00:00</t>
        </is>
      </c>
      <c r="F402" t="inlineStr">
        <is>
          <t>2026-03-25T17:31:16.356086+00:00</t>
        </is>
      </c>
      <c r="G402" t="n">
        <v>10</v>
      </c>
      <c r="H402" t="n">
        <v>450.86</v>
      </c>
      <c r="I402" t="n">
        <v>3</v>
      </c>
      <c r="J402" t="n">
        <v>1</v>
      </c>
      <c r="K402" t="n">
        <v>1</v>
      </c>
      <c r="M402" t="inlineStr">
        <is>
          <t>matches_completely</t>
        </is>
      </c>
      <c r="N402" t="n">
        <v>5</v>
      </c>
      <c r="O402" t="inlineStr">
        <is>
          <t>yes</t>
        </is>
      </c>
      <c r="Q402" t="inlineStr">
        <is>
          <t>correct</t>
        </is>
      </c>
      <c r="R402" t="inlineStr">
        <is>
          <t>correct</t>
        </is>
      </c>
      <c r="S402" t="inlineStr">
        <is>
          <t>matches_completely</t>
        </is>
      </c>
      <c r="T402" t="inlineStr">
        <is>
          <t>correct</t>
        </is>
      </c>
      <c r="U402">
        <f>IF(T402="correct",1,0)</f>
        <v/>
      </c>
      <c r="V402">
        <f>VLOOKUP(A402,Participants!$A$2:$B$86,2,FALSE)</f>
        <v/>
      </c>
    </row>
    <row r="403">
      <c r="A403" t="inlineStr">
        <is>
          <t>user_0126</t>
        </is>
      </c>
      <c r="B403" t="inlineStr">
        <is>
          <t>E6</t>
        </is>
      </c>
      <c r="C403" t="inlineStr">
        <is>
          <t>C3</t>
        </is>
      </c>
      <c r="D403" t="n">
        <v>5</v>
      </c>
      <c r="E403" t="inlineStr">
        <is>
          <t>2026-03-25T17:37:00.334900+00:00</t>
        </is>
      </c>
      <c r="F403" t="inlineStr">
        <is>
          <t>2026-03-25T17:37:00.353567+00:00</t>
        </is>
      </c>
      <c r="G403" t="n">
        <v>4</v>
      </c>
      <c r="H403" t="n">
        <v>104.98</v>
      </c>
      <c r="I403" t="n">
        <v>1</v>
      </c>
      <c r="J403" t="n">
        <v>1</v>
      </c>
      <c r="K403" t="n">
        <v>1</v>
      </c>
      <c r="M403" t="inlineStr">
        <is>
          <t>matches_completely</t>
        </is>
      </c>
      <c r="N403" t="n">
        <v>4</v>
      </c>
      <c r="O403" t="inlineStr">
        <is>
          <t>yes</t>
        </is>
      </c>
      <c r="Q403" t="inlineStr">
        <is>
          <t>correct</t>
        </is>
      </c>
      <c r="R403" t="inlineStr">
        <is>
          <t>correct</t>
        </is>
      </c>
      <c r="S403" t="inlineStr">
        <is>
          <t>matches_completely</t>
        </is>
      </c>
      <c r="T403" t="inlineStr">
        <is>
          <t>correct</t>
        </is>
      </c>
      <c r="U403">
        <f>IF(T403="correct",1,0)</f>
        <v/>
      </c>
      <c r="V403">
        <f>VLOOKUP(A403,Participants!$A$2:$B$86,2,FALSE)</f>
        <v/>
      </c>
    </row>
    <row r="404">
      <c r="A404" t="inlineStr">
        <is>
          <t>user_0127</t>
        </is>
      </c>
      <c r="B404" t="inlineStr">
        <is>
          <t>E2</t>
        </is>
      </c>
      <c r="C404" t="inlineStr">
        <is>
          <t>C1</t>
        </is>
      </c>
      <c r="D404" t="n">
        <v>0</v>
      </c>
      <c r="E404" t="inlineStr">
        <is>
          <t>2026-03-25T17:25:30.801152+00:00</t>
        </is>
      </c>
      <c r="F404" t="inlineStr">
        <is>
          <t>2026-03-25T17:25:30.822773+00:00</t>
        </is>
      </c>
      <c r="G404" t="n">
        <v>7</v>
      </c>
      <c r="H404" t="n">
        <v>610.83</v>
      </c>
      <c r="I404" t="n">
        <v>2</v>
      </c>
      <c r="J404" t="n">
        <v>1</v>
      </c>
      <c r="K404" t="n">
        <v>1</v>
      </c>
      <c r="M404" t="inlineStr">
        <is>
          <t>matches_completely</t>
        </is>
      </c>
      <c r="N404" t="n">
        <v>5</v>
      </c>
      <c r="O404" t="inlineStr">
        <is>
          <t>yes</t>
        </is>
      </c>
      <c r="Q404" t="inlineStr">
        <is>
          <t>correct</t>
        </is>
      </c>
      <c r="R404" t="inlineStr">
        <is>
          <t>correct</t>
        </is>
      </c>
      <c r="S404" t="inlineStr">
        <is>
          <t>matches_completely</t>
        </is>
      </c>
      <c r="T404" t="inlineStr">
        <is>
          <t>correct</t>
        </is>
      </c>
      <c r="U404">
        <f>IF(T404="correct",1,0)</f>
        <v/>
      </c>
      <c r="V404">
        <f>VLOOKUP(A404,Participants!$A$2:$B$86,2,FALSE)</f>
        <v/>
      </c>
    </row>
    <row r="405">
      <c r="A405" t="inlineStr">
        <is>
          <t>user_0127</t>
        </is>
      </c>
      <c r="B405" t="inlineStr">
        <is>
          <t>E1</t>
        </is>
      </c>
      <c r="C405" t="inlineStr">
        <is>
          <t>C2</t>
        </is>
      </c>
      <c r="D405" t="n">
        <v>1</v>
      </c>
      <c r="E405" t="inlineStr">
        <is>
          <t>2026-03-25T17:27:53.818507+00:00</t>
        </is>
      </c>
      <c r="F405" t="inlineStr">
        <is>
          <t>2026-03-25T17:27:53.838442+00:00</t>
        </is>
      </c>
      <c r="G405" t="n">
        <v>4</v>
      </c>
      <c r="H405" t="n">
        <v>79.38</v>
      </c>
      <c r="I405" t="n">
        <v>1</v>
      </c>
      <c r="J405" t="n">
        <v>1</v>
      </c>
      <c r="K405" t="n">
        <v>1</v>
      </c>
      <c r="M405" t="inlineStr">
        <is>
          <t>matches_completely</t>
        </is>
      </c>
      <c r="N405" t="n">
        <v>5</v>
      </c>
      <c r="O405" t="inlineStr">
        <is>
          <t>yes</t>
        </is>
      </c>
      <c r="Q405" t="inlineStr">
        <is>
          <t>correct</t>
        </is>
      </c>
      <c r="R405" t="inlineStr">
        <is>
          <t>correct</t>
        </is>
      </c>
      <c r="S405" t="inlineStr">
        <is>
          <t>matches_completely</t>
        </is>
      </c>
      <c r="T405" t="inlineStr">
        <is>
          <t>correct</t>
        </is>
      </c>
      <c r="U405">
        <f>IF(T405="correct",1,0)</f>
        <v/>
      </c>
      <c r="V405">
        <f>VLOOKUP(A405,Participants!$A$2:$B$86,2,FALSE)</f>
        <v/>
      </c>
    </row>
    <row r="406">
      <c r="A406" t="inlineStr">
        <is>
          <t>user_0127</t>
        </is>
      </c>
      <c r="B406" t="inlineStr">
        <is>
          <t>E3</t>
        </is>
      </c>
      <c r="C406" t="inlineStr">
        <is>
          <t>C3</t>
        </is>
      </c>
      <c r="D406" t="n">
        <v>2</v>
      </c>
      <c r="E406" t="inlineStr">
        <is>
          <t>2026-03-25T17:37:57.208090+00:00</t>
        </is>
      </c>
      <c r="F406" t="inlineStr">
        <is>
          <t>2026-03-25T17:37:57.227508+00:00</t>
        </is>
      </c>
      <c r="G406" t="n">
        <v>4</v>
      </c>
      <c r="H406" t="n">
        <v>125.45</v>
      </c>
      <c r="I406" t="n">
        <v>2</v>
      </c>
      <c r="J406" t="n">
        <v>1</v>
      </c>
      <c r="K406" t="n">
        <v>1</v>
      </c>
      <c r="M406" t="inlineStr">
        <is>
          <t>matches_completely</t>
        </is>
      </c>
      <c r="N406" t="n">
        <v>5</v>
      </c>
      <c r="O406" t="inlineStr">
        <is>
          <t>yes</t>
        </is>
      </c>
      <c r="Q406" t="inlineStr">
        <is>
          <t>correct</t>
        </is>
      </c>
      <c r="R406" t="inlineStr">
        <is>
          <t>correct</t>
        </is>
      </c>
      <c r="S406" t="inlineStr">
        <is>
          <t>matches_completely</t>
        </is>
      </c>
      <c r="T406" t="inlineStr">
        <is>
          <t>correct</t>
        </is>
      </c>
      <c r="U406">
        <f>IF(T406="correct",1,0)</f>
        <v/>
      </c>
      <c r="V406">
        <f>VLOOKUP(A406,Participants!$A$2:$B$86,2,FALSE)</f>
        <v/>
      </c>
    </row>
    <row r="407">
      <c r="A407" t="inlineStr">
        <is>
          <t>user_0127</t>
        </is>
      </c>
      <c r="B407" t="inlineStr">
        <is>
          <t>E5</t>
        </is>
      </c>
      <c r="C407" t="inlineStr">
        <is>
          <t>C1</t>
        </is>
      </c>
      <c r="D407" t="n">
        <v>3</v>
      </c>
      <c r="E407" t="inlineStr">
        <is>
          <t>2026-03-25T17:42:28.528919+00:00</t>
        </is>
      </c>
      <c r="F407" t="inlineStr">
        <is>
          <t>2026-03-25T17:42:28.546614+00:00</t>
        </is>
      </c>
      <c r="G407" t="n">
        <v>4</v>
      </c>
      <c r="H407" t="n">
        <v>71.86</v>
      </c>
      <c r="I407" t="n">
        <v>1</v>
      </c>
      <c r="J407" t="n">
        <v>1</v>
      </c>
      <c r="K407" t="n">
        <v>1</v>
      </c>
      <c r="M407" t="inlineStr">
        <is>
          <t>matches_completely</t>
        </is>
      </c>
      <c r="N407" t="n">
        <v>5</v>
      </c>
      <c r="O407" t="inlineStr">
        <is>
          <t>yes</t>
        </is>
      </c>
      <c r="Q407" t="inlineStr">
        <is>
          <t>correct</t>
        </is>
      </c>
      <c r="R407" t="inlineStr">
        <is>
          <t>correct</t>
        </is>
      </c>
      <c r="S407" t="inlineStr">
        <is>
          <t>matches_completely</t>
        </is>
      </c>
      <c r="T407" t="inlineStr">
        <is>
          <t>correct</t>
        </is>
      </c>
      <c r="U407">
        <f>IF(T407="correct",1,0)</f>
        <v/>
      </c>
      <c r="V407">
        <f>VLOOKUP(A407,Participants!$A$2:$B$86,2,FALSE)</f>
        <v/>
      </c>
    </row>
    <row r="408">
      <c r="A408" t="inlineStr">
        <is>
          <t>user_0127</t>
        </is>
      </c>
      <c r="B408" t="inlineStr">
        <is>
          <t>E4</t>
        </is>
      </c>
      <c r="C408" t="inlineStr">
        <is>
          <t>C2</t>
        </is>
      </c>
      <c r="D408" t="n">
        <v>4</v>
      </c>
      <c r="E408" t="inlineStr">
        <is>
          <t>2026-03-25T17:44:49.952575+00:00</t>
        </is>
      </c>
      <c r="F408" t="inlineStr">
        <is>
          <t>2026-03-25T17:44:49.972181+00:00</t>
        </is>
      </c>
      <c r="G408" t="n">
        <v>4</v>
      </c>
      <c r="H408" t="n">
        <v>55.64</v>
      </c>
      <c r="I408" t="n">
        <v>1</v>
      </c>
      <c r="J408" t="n">
        <v>1</v>
      </c>
      <c r="K408" t="n">
        <v>1</v>
      </c>
      <c r="M408" t="inlineStr">
        <is>
          <t>matches_completely</t>
        </is>
      </c>
      <c r="N408" t="n">
        <v>5</v>
      </c>
      <c r="O408" t="inlineStr">
        <is>
          <t>yes</t>
        </is>
      </c>
      <c r="Q408" t="inlineStr">
        <is>
          <t>correct</t>
        </is>
      </c>
      <c r="R408" t="inlineStr">
        <is>
          <t>correct</t>
        </is>
      </c>
      <c r="S408" t="inlineStr">
        <is>
          <t>partially</t>
        </is>
      </c>
      <c r="T408" t="inlineStr">
        <is>
          <t>correct</t>
        </is>
      </c>
      <c r="U408">
        <f>IF(T408="correct",1,0)</f>
        <v/>
      </c>
      <c r="V408">
        <f>VLOOKUP(A408,Participants!$A$2:$B$86,2,FALSE)</f>
        <v/>
      </c>
    </row>
    <row r="409">
      <c r="A409" t="inlineStr">
        <is>
          <t>user_0127</t>
        </is>
      </c>
      <c r="B409" t="inlineStr">
        <is>
          <t>E6</t>
        </is>
      </c>
      <c r="C409" t="inlineStr">
        <is>
          <t>C3</t>
        </is>
      </c>
      <c r="D409" t="n">
        <v>5</v>
      </c>
      <c r="E409" t="inlineStr">
        <is>
          <t>2026-03-25T17:56:26.139110+00:00</t>
        </is>
      </c>
      <c r="F409" t="inlineStr">
        <is>
          <t>2026-03-25T17:56:26.166837+00:00</t>
        </is>
      </c>
      <c r="G409" t="n">
        <v>4</v>
      </c>
      <c r="H409" t="n">
        <v>42.08</v>
      </c>
      <c r="I409" t="n">
        <v>1</v>
      </c>
      <c r="J409" t="n">
        <v>1</v>
      </c>
      <c r="K409" t="n">
        <v>1</v>
      </c>
      <c r="M409" t="inlineStr">
        <is>
          <t>matches_completely</t>
        </is>
      </c>
      <c r="N409" t="n">
        <v>5</v>
      </c>
      <c r="O409" t="inlineStr">
        <is>
          <t>yes</t>
        </is>
      </c>
      <c r="Q409" t="inlineStr">
        <is>
          <t>correct</t>
        </is>
      </c>
      <c r="R409" t="inlineStr">
        <is>
          <t>correct</t>
        </is>
      </c>
      <c r="S409" t="inlineStr">
        <is>
          <t>matches_completely</t>
        </is>
      </c>
      <c r="T409" t="inlineStr">
        <is>
          <t>correct</t>
        </is>
      </c>
      <c r="U409">
        <f>IF(T409="correct",1,0)</f>
        <v/>
      </c>
      <c r="V409">
        <f>VLOOKUP(A409,Participants!$A$2:$B$86,2,FALSE)</f>
        <v/>
      </c>
    </row>
    <row r="410">
      <c r="A410" t="inlineStr">
        <is>
          <t>user_0128</t>
        </is>
      </c>
      <c r="B410" t="inlineStr">
        <is>
          <t>E2</t>
        </is>
      </c>
      <c r="C410" t="inlineStr">
        <is>
          <t>C1</t>
        </is>
      </c>
      <c r="D410" t="n">
        <v>0</v>
      </c>
      <c r="E410" t="inlineStr">
        <is>
          <t>2026-03-25T17:23:20.412256+00:00</t>
        </is>
      </c>
      <c r="F410" t="inlineStr">
        <is>
          <t>2026-03-25T17:23:20.432857+00:00</t>
        </is>
      </c>
      <c r="G410" t="n">
        <v>4</v>
      </c>
      <c r="H410" t="n">
        <v>481.36</v>
      </c>
      <c r="I410" t="n">
        <v>1</v>
      </c>
      <c r="J410" t="n">
        <v>1</v>
      </c>
      <c r="K410" t="n">
        <v>1</v>
      </c>
      <c r="M410" t="inlineStr">
        <is>
          <t>matches_completely</t>
        </is>
      </c>
      <c r="N410" t="n">
        <v>5</v>
      </c>
      <c r="O410" t="inlineStr">
        <is>
          <t>yes</t>
        </is>
      </c>
      <c r="Q410" t="inlineStr">
        <is>
          <t>correct</t>
        </is>
      </c>
      <c r="R410" t="inlineStr">
        <is>
          <t>correct</t>
        </is>
      </c>
      <c r="S410" t="inlineStr">
        <is>
          <t>matches_completely</t>
        </is>
      </c>
      <c r="T410" t="inlineStr">
        <is>
          <t>correct</t>
        </is>
      </c>
      <c r="U410">
        <f>IF(T410="correct",1,0)</f>
        <v/>
      </c>
      <c r="V410">
        <f>VLOOKUP(A410,Participants!$A$2:$B$86,2,FALSE)</f>
        <v/>
      </c>
    </row>
    <row r="411">
      <c r="A411" t="inlineStr">
        <is>
          <t>user_0128</t>
        </is>
      </c>
      <c r="B411" t="inlineStr">
        <is>
          <t>E1</t>
        </is>
      </c>
      <c r="C411" t="inlineStr">
        <is>
          <t>C2</t>
        </is>
      </c>
      <c r="D411" t="n">
        <v>1</v>
      </c>
      <c r="E411" t="inlineStr">
        <is>
          <t>2026-03-25T17:25:18.166103+00:00</t>
        </is>
      </c>
      <c r="F411" t="inlineStr">
        <is>
          <t>2026-03-25T17:25:18.192668+00:00</t>
        </is>
      </c>
      <c r="G411" t="n">
        <v>4</v>
      </c>
      <c r="H411" t="n">
        <v>72.62</v>
      </c>
      <c r="I411" t="n">
        <v>1</v>
      </c>
      <c r="J411" t="n">
        <v>1</v>
      </c>
      <c r="K411" t="n">
        <v>1</v>
      </c>
      <c r="M411" t="inlineStr">
        <is>
          <t>matches_completely</t>
        </is>
      </c>
      <c r="N411" t="n">
        <v>5</v>
      </c>
      <c r="O411" t="inlineStr">
        <is>
          <t>yes</t>
        </is>
      </c>
      <c r="Q411" t="inlineStr">
        <is>
          <t>correct</t>
        </is>
      </c>
      <c r="R411" t="inlineStr">
        <is>
          <t>correct</t>
        </is>
      </c>
      <c r="S411" t="inlineStr">
        <is>
          <t>matches_completely</t>
        </is>
      </c>
      <c r="T411" t="inlineStr">
        <is>
          <t>correct</t>
        </is>
      </c>
      <c r="U411">
        <f>IF(T411="correct",1,0)</f>
        <v/>
      </c>
      <c r="V411">
        <f>VLOOKUP(A411,Participants!$A$2:$B$86,2,FALSE)</f>
        <v/>
      </c>
    </row>
    <row r="412">
      <c r="A412" t="inlineStr">
        <is>
          <t>user_0128</t>
        </is>
      </c>
      <c r="B412" t="inlineStr">
        <is>
          <t>E3</t>
        </is>
      </c>
      <c r="C412" t="inlineStr">
        <is>
          <t>C3</t>
        </is>
      </c>
      <c r="D412" t="n">
        <v>2</v>
      </c>
      <c r="E412" t="inlineStr">
        <is>
          <t>2026-03-25T17:30:59.473562+00:00</t>
        </is>
      </c>
      <c r="F412" t="inlineStr">
        <is>
          <t>2026-03-25T17:30:59.493969+00:00</t>
        </is>
      </c>
      <c r="G412" t="n">
        <v>8</v>
      </c>
      <c r="H412" t="n">
        <v>92.23</v>
      </c>
      <c r="I412" t="n">
        <v>2</v>
      </c>
      <c r="J412" t="n">
        <v>1</v>
      </c>
      <c r="K412" t="n">
        <v>1</v>
      </c>
      <c r="M412" t="inlineStr">
        <is>
          <t>partially</t>
        </is>
      </c>
      <c r="N412" t="n">
        <v>4</v>
      </c>
      <c r="O412" t="inlineStr">
        <is>
          <t>yes</t>
        </is>
      </c>
      <c r="Q412" t="inlineStr">
        <is>
          <t>correct</t>
        </is>
      </c>
      <c r="R412" t="inlineStr">
        <is>
          <t>correct</t>
        </is>
      </c>
      <c r="S412" t="inlineStr">
        <is>
          <t>matches_completely</t>
        </is>
      </c>
      <c r="T412" t="inlineStr">
        <is>
          <t>correct</t>
        </is>
      </c>
      <c r="U412">
        <f>IF(T412="correct",1,0)</f>
        <v/>
      </c>
      <c r="V412">
        <f>VLOOKUP(A412,Participants!$A$2:$B$86,2,FALSE)</f>
        <v/>
      </c>
    </row>
    <row r="413">
      <c r="A413" t="inlineStr">
        <is>
          <t>user_0128</t>
        </is>
      </c>
      <c r="B413" t="inlineStr">
        <is>
          <t>E5</t>
        </is>
      </c>
      <c r="C413" t="inlineStr">
        <is>
          <t>C1</t>
        </is>
      </c>
      <c r="D413" t="n">
        <v>3</v>
      </c>
      <c r="E413" t="inlineStr">
        <is>
          <t>2026-03-25T17:39:47.549825+00:00</t>
        </is>
      </c>
      <c r="F413" t="inlineStr">
        <is>
          <t>2026-03-25T17:39:47.576118+00:00</t>
        </is>
      </c>
      <c r="G413" t="n">
        <v>4</v>
      </c>
      <c r="H413" t="n">
        <v>64.5</v>
      </c>
      <c r="I413" t="n">
        <v>1</v>
      </c>
      <c r="J413" t="n">
        <v>1</v>
      </c>
      <c r="K413" t="n">
        <v>1</v>
      </c>
      <c r="M413" t="inlineStr">
        <is>
          <t>partially</t>
        </is>
      </c>
      <c r="N413" t="n">
        <v>4</v>
      </c>
      <c r="O413" t="inlineStr">
        <is>
          <t>yes</t>
        </is>
      </c>
      <c r="Q413" t="inlineStr">
        <is>
          <t>incorrect</t>
        </is>
      </c>
      <c r="R413" t="inlineStr">
        <is>
          <t>correct</t>
        </is>
      </c>
      <c r="S413" t="inlineStr">
        <is>
          <t>matches_completely</t>
        </is>
      </c>
      <c r="T413" t="inlineStr">
        <is>
          <t>incorrect</t>
        </is>
      </c>
      <c r="U413">
        <f>IF(T413="correct",1,0)</f>
        <v/>
      </c>
      <c r="V413">
        <f>VLOOKUP(A413,Participants!$A$2:$B$86,2,FALSE)</f>
        <v/>
      </c>
    </row>
    <row r="414">
      <c r="A414" t="inlineStr">
        <is>
          <t>user_0128</t>
        </is>
      </c>
      <c r="B414" t="inlineStr">
        <is>
          <t>E4</t>
        </is>
      </c>
      <c r="C414" t="inlineStr">
        <is>
          <t>C2</t>
        </is>
      </c>
      <c r="D414" t="n">
        <v>4</v>
      </c>
      <c r="E414" t="inlineStr">
        <is>
          <t>2026-03-25T17:41:00.975177+00:00</t>
        </is>
      </c>
      <c r="F414" t="inlineStr">
        <is>
          <t>2026-03-25T17:41:00.991644+00:00</t>
        </is>
      </c>
      <c r="G414" t="n">
        <v>4</v>
      </c>
      <c r="H414" t="n">
        <v>21.14</v>
      </c>
      <c r="I414" t="n">
        <v>1</v>
      </c>
      <c r="J414" t="n">
        <v>1</v>
      </c>
      <c r="K414" t="n">
        <v>1</v>
      </c>
      <c r="M414" t="inlineStr">
        <is>
          <t>matches_completely</t>
        </is>
      </c>
      <c r="N414" t="n">
        <v>5</v>
      </c>
      <c r="O414" t="inlineStr">
        <is>
          <t>yes</t>
        </is>
      </c>
      <c r="Q414" t="inlineStr">
        <is>
          <t>correct</t>
        </is>
      </c>
      <c r="R414" t="inlineStr">
        <is>
          <t>correct</t>
        </is>
      </c>
      <c r="S414" t="inlineStr">
        <is>
          <t>matches_completely</t>
        </is>
      </c>
      <c r="T414" t="inlineStr">
        <is>
          <t>correct</t>
        </is>
      </c>
      <c r="U414">
        <f>IF(T414="correct",1,0)</f>
        <v/>
      </c>
      <c r="V414">
        <f>VLOOKUP(A414,Participants!$A$2:$B$86,2,FALSE)</f>
        <v/>
      </c>
    </row>
    <row r="415">
      <c r="A415" t="inlineStr">
        <is>
          <t>user_0128</t>
        </is>
      </c>
      <c r="B415" t="inlineStr">
        <is>
          <t>E6</t>
        </is>
      </c>
      <c r="C415" t="inlineStr">
        <is>
          <t>C3</t>
        </is>
      </c>
      <c r="D415" t="n">
        <v>5</v>
      </c>
      <c r="E415" t="inlineStr">
        <is>
          <t>2026-03-25T17:42:32.542919+00:00</t>
        </is>
      </c>
      <c r="F415" t="inlineStr">
        <is>
          <t>2026-03-25T17:42:32.560344+00:00</t>
        </is>
      </c>
      <c r="G415" t="n">
        <v>4</v>
      </c>
      <c r="H415" t="n">
        <v>21</v>
      </c>
      <c r="I415" t="n">
        <v>1</v>
      </c>
      <c r="J415" t="n">
        <v>1</v>
      </c>
      <c r="K415" t="n">
        <v>1</v>
      </c>
      <c r="M415" t="inlineStr">
        <is>
          <t>matches_completely</t>
        </is>
      </c>
      <c r="N415" t="n">
        <v>5</v>
      </c>
      <c r="O415" t="inlineStr">
        <is>
          <t>yes</t>
        </is>
      </c>
      <c r="Q415" t="inlineStr">
        <is>
          <t>correct</t>
        </is>
      </c>
      <c r="R415" t="inlineStr">
        <is>
          <t>correct</t>
        </is>
      </c>
      <c r="S415" t="inlineStr">
        <is>
          <t>matches_completely</t>
        </is>
      </c>
      <c r="T415" t="inlineStr">
        <is>
          <t>correct</t>
        </is>
      </c>
      <c r="U415">
        <f>IF(T415="correct",1,0)</f>
        <v/>
      </c>
      <c r="V415">
        <f>VLOOKUP(A415,Participants!$A$2:$B$86,2,FALSE)</f>
        <v/>
      </c>
    </row>
    <row r="416">
      <c r="A416" t="inlineStr">
        <is>
          <t>user_0129</t>
        </is>
      </c>
      <c r="B416" t="inlineStr">
        <is>
          <t>E2</t>
        </is>
      </c>
      <c r="C416" t="inlineStr">
        <is>
          <t>C1</t>
        </is>
      </c>
      <c r="D416" t="n">
        <v>0</v>
      </c>
      <c r="E416" t="inlineStr">
        <is>
          <t>2026-03-25T17:45:54.194259+00:00</t>
        </is>
      </c>
      <c r="F416" t="inlineStr">
        <is>
          <t>2026-03-25T17:45:54.214315+00:00</t>
        </is>
      </c>
      <c r="G416" t="n">
        <v>4</v>
      </c>
      <c r="H416" t="n">
        <v>138.16</v>
      </c>
      <c r="I416" t="n">
        <v>1</v>
      </c>
      <c r="J416" t="n">
        <v>1</v>
      </c>
      <c r="K416" t="n">
        <v>1</v>
      </c>
      <c r="M416" t="inlineStr">
        <is>
          <t>matches_completely</t>
        </is>
      </c>
      <c r="N416" t="n">
        <v>5</v>
      </c>
      <c r="O416" t="inlineStr">
        <is>
          <t>yes</t>
        </is>
      </c>
      <c r="Q416" t="inlineStr">
        <is>
          <t>correct</t>
        </is>
      </c>
      <c r="R416" t="inlineStr">
        <is>
          <t>correct</t>
        </is>
      </c>
      <c r="T416" t="inlineStr">
        <is>
          <t>correct</t>
        </is>
      </c>
      <c r="U416">
        <f>IF(T416="correct",1,0)</f>
        <v/>
      </c>
      <c r="V416">
        <f>VLOOKUP(A416,Participants!$A$2:$B$86,2,FALSE)</f>
        <v/>
      </c>
    </row>
    <row r="417">
      <c r="A417" t="inlineStr">
        <is>
          <t>user_0129</t>
        </is>
      </c>
      <c r="B417" t="inlineStr">
        <is>
          <t>E1</t>
        </is>
      </c>
      <c r="C417" t="inlineStr">
        <is>
          <t>C2</t>
        </is>
      </c>
      <c r="D417" t="n">
        <v>1</v>
      </c>
      <c r="E417" t="inlineStr">
        <is>
          <t>2026-03-25T17:50:09.073750+00:00</t>
        </is>
      </c>
      <c r="F417" t="inlineStr">
        <is>
          <t>2026-03-25T17:50:09.094041+00:00</t>
        </is>
      </c>
      <c r="G417" t="n">
        <v>4</v>
      </c>
      <c r="H417" t="n">
        <v>114.44</v>
      </c>
      <c r="I417" t="n">
        <v>1</v>
      </c>
      <c r="J417" t="n">
        <v>1</v>
      </c>
      <c r="K417" t="n">
        <v>1</v>
      </c>
      <c r="M417" t="inlineStr">
        <is>
          <t>matches_completely</t>
        </is>
      </c>
      <c r="N417" t="n">
        <v>5</v>
      </c>
      <c r="O417" t="inlineStr">
        <is>
          <t>yes</t>
        </is>
      </c>
      <c r="Q417" t="inlineStr">
        <is>
          <t>correct</t>
        </is>
      </c>
      <c r="R417" t="inlineStr">
        <is>
          <t>correct</t>
        </is>
      </c>
      <c r="T417" t="inlineStr">
        <is>
          <t>correct</t>
        </is>
      </c>
      <c r="U417">
        <f>IF(T417="correct",1,0)</f>
        <v/>
      </c>
      <c r="V417">
        <f>VLOOKUP(A417,Participants!$A$2:$B$86,2,FALSE)</f>
        <v/>
      </c>
    </row>
    <row r="418">
      <c r="A418" t="inlineStr">
        <is>
          <t>user_0129</t>
        </is>
      </c>
      <c r="B418" t="inlineStr">
        <is>
          <t>E3</t>
        </is>
      </c>
      <c r="C418" t="inlineStr">
        <is>
          <t>C3</t>
        </is>
      </c>
      <c r="D418" t="n">
        <v>2</v>
      </c>
      <c r="E418" t="inlineStr">
        <is>
          <t>2026-03-25T17:55:22.515771+00:00</t>
        </is>
      </c>
      <c r="F418" t="inlineStr">
        <is>
          <t>2026-03-25T17:55:22.533642+00:00</t>
        </is>
      </c>
      <c r="G418" t="n">
        <v>4</v>
      </c>
      <c r="H418" t="n">
        <v>56.51</v>
      </c>
      <c r="I418" t="n">
        <v>1</v>
      </c>
      <c r="J418" t="n">
        <v>1</v>
      </c>
      <c r="K418" t="n">
        <v>1</v>
      </c>
      <c r="M418" t="inlineStr">
        <is>
          <t>matches_completely</t>
        </is>
      </c>
      <c r="N418" t="n">
        <v>5</v>
      </c>
      <c r="O418" t="inlineStr">
        <is>
          <t>yes</t>
        </is>
      </c>
      <c r="Q418" t="inlineStr">
        <is>
          <t>correct</t>
        </is>
      </c>
      <c r="R418" t="inlineStr">
        <is>
          <t>correct</t>
        </is>
      </c>
      <c r="T418" t="inlineStr">
        <is>
          <t>correct</t>
        </is>
      </c>
      <c r="U418">
        <f>IF(T418="correct",1,0)</f>
        <v/>
      </c>
      <c r="V418">
        <f>VLOOKUP(A418,Participants!$A$2:$B$86,2,FALSE)</f>
        <v/>
      </c>
    </row>
    <row r="419">
      <c r="A419" t="inlineStr">
        <is>
          <t>user_0129</t>
        </is>
      </c>
      <c r="B419" t="inlineStr">
        <is>
          <t>E5</t>
        </is>
      </c>
      <c r="C419" t="inlineStr">
        <is>
          <t>C1</t>
        </is>
      </c>
      <c r="D419" t="n">
        <v>3</v>
      </c>
      <c r="E419" t="inlineStr">
        <is>
          <t>2026-03-25T17:59:34.196683+00:00</t>
        </is>
      </c>
      <c r="F419" t="inlineStr">
        <is>
          <t>2026-03-25T17:59:34.217851+00:00</t>
        </is>
      </c>
      <c r="G419" t="n">
        <v>4</v>
      </c>
      <c r="H419" t="n">
        <v>28.64</v>
      </c>
      <c r="I419" t="n">
        <v>1</v>
      </c>
      <c r="J419" t="n">
        <v>1</v>
      </c>
      <c r="K419" t="n">
        <v>1</v>
      </c>
      <c r="M419" t="inlineStr">
        <is>
          <t>matches_completely</t>
        </is>
      </c>
      <c r="N419" t="n">
        <v>5</v>
      </c>
      <c r="O419" t="inlineStr">
        <is>
          <t>yes</t>
        </is>
      </c>
      <c r="Q419" t="inlineStr">
        <is>
          <t>correct</t>
        </is>
      </c>
      <c r="R419" t="inlineStr">
        <is>
          <t>correct</t>
        </is>
      </c>
      <c r="T419" t="inlineStr">
        <is>
          <t>correct</t>
        </is>
      </c>
      <c r="U419">
        <f>IF(T419="correct",1,0)</f>
        <v/>
      </c>
      <c r="V419">
        <f>VLOOKUP(A419,Participants!$A$2:$B$86,2,FALSE)</f>
        <v/>
      </c>
    </row>
    <row r="420">
      <c r="A420" t="inlineStr">
        <is>
          <t>user_0129</t>
        </is>
      </c>
      <c r="B420" t="inlineStr">
        <is>
          <t>E4</t>
        </is>
      </c>
      <c r="C420" t="inlineStr">
        <is>
          <t>C2</t>
        </is>
      </c>
      <c r="D420" t="n">
        <v>4</v>
      </c>
      <c r="E420" t="inlineStr">
        <is>
          <t>2026-03-25T18:03:40.891818+00:00</t>
        </is>
      </c>
      <c r="F420" t="inlineStr">
        <is>
          <t>2026-03-25T18:03:40.911866+00:00</t>
        </is>
      </c>
      <c r="G420" t="n">
        <v>4</v>
      </c>
      <c r="H420" t="n">
        <v>103.48</v>
      </c>
      <c r="I420" t="n">
        <v>1</v>
      </c>
      <c r="J420" t="n">
        <v>1</v>
      </c>
      <c r="K420" t="n">
        <v>1</v>
      </c>
      <c r="M420" t="inlineStr">
        <is>
          <t>matches_completely</t>
        </is>
      </c>
      <c r="N420" t="n">
        <v>5</v>
      </c>
      <c r="O420" t="inlineStr">
        <is>
          <t>yes</t>
        </is>
      </c>
      <c r="Q420" t="inlineStr">
        <is>
          <t>correct</t>
        </is>
      </c>
      <c r="R420" t="inlineStr">
        <is>
          <t>correct</t>
        </is>
      </c>
      <c r="T420" t="inlineStr">
        <is>
          <t>correct</t>
        </is>
      </c>
      <c r="U420">
        <f>IF(T420="correct",1,0)</f>
        <v/>
      </c>
      <c r="V420">
        <f>VLOOKUP(A420,Participants!$A$2:$B$86,2,FALSE)</f>
        <v/>
      </c>
    </row>
    <row r="421">
      <c r="A421" t="inlineStr">
        <is>
          <t>user_0129</t>
        </is>
      </c>
      <c r="B421" t="inlineStr">
        <is>
          <t>E6</t>
        </is>
      </c>
      <c r="C421" t="inlineStr">
        <is>
          <t>C3</t>
        </is>
      </c>
      <c r="D421" t="n">
        <v>5</v>
      </c>
      <c r="E421" t="inlineStr">
        <is>
          <t>2026-03-25T18:05:38.695811+00:00</t>
        </is>
      </c>
      <c r="F421" t="inlineStr">
        <is>
          <t>2026-03-25T18:05:38.716396+00:00</t>
        </is>
      </c>
      <c r="G421" t="n">
        <v>4</v>
      </c>
      <c r="H421" t="n">
        <v>38.5</v>
      </c>
      <c r="I421" t="n">
        <v>1</v>
      </c>
      <c r="J421" t="n">
        <v>1</v>
      </c>
      <c r="K421" t="n">
        <v>1</v>
      </c>
      <c r="M421" t="inlineStr">
        <is>
          <t>matches_completely</t>
        </is>
      </c>
      <c r="N421" t="n">
        <v>5</v>
      </c>
      <c r="O421" t="inlineStr">
        <is>
          <t>yes</t>
        </is>
      </c>
      <c r="Q421" t="inlineStr">
        <is>
          <t>correct</t>
        </is>
      </c>
      <c r="R421" t="inlineStr">
        <is>
          <t>correct</t>
        </is>
      </c>
      <c r="T421" t="inlineStr">
        <is>
          <t>correct</t>
        </is>
      </c>
      <c r="U421">
        <f>IF(T421="correct",1,0)</f>
        <v/>
      </c>
      <c r="V421">
        <f>VLOOKUP(A421,Participants!$A$2:$B$86,2,FALSE)</f>
        <v/>
      </c>
    </row>
    <row r="422">
      <c r="A422" t="inlineStr">
        <is>
          <t>user_0130</t>
        </is>
      </c>
      <c r="B422" t="inlineStr">
        <is>
          <t>E2</t>
        </is>
      </c>
      <c r="C422" t="inlineStr">
        <is>
          <t>C1</t>
        </is>
      </c>
      <c r="D422" t="n">
        <v>0</v>
      </c>
      <c r="E422" t="inlineStr">
        <is>
          <t>2026-03-25T17:29:12.527611+00:00</t>
        </is>
      </c>
      <c r="F422" t="inlineStr">
        <is>
          <t>2026-03-25T17:29:12.555840+00:00</t>
        </is>
      </c>
      <c r="G422" t="n">
        <v>4</v>
      </c>
      <c r="H422" t="n">
        <v>321.06</v>
      </c>
      <c r="I422" t="n">
        <v>2</v>
      </c>
      <c r="J422" t="n">
        <v>1</v>
      </c>
      <c r="K422" t="n">
        <v>1</v>
      </c>
      <c r="M422" t="inlineStr">
        <is>
          <t>partially</t>
        </is>
      </c>
      <c r="N422" t="n">
        <v>4</v>
      </c>
      <c r="O422" t="inlineStr">
        <is>
          <t>yes</t>
        </is>
      </c>
      <c r="Q422" t="inlineStr">
        <is>
          <t>correct</t>
        </is>
      </c>
      <c r="R422" t="inlineStr">
        <is>
          <t>correct</t>
        </is>
      </c>
      <c r="S422" t="inlineStr">
        <is>
          <t>does_not_match</t>
        </is>
      </c>
      <c r="T422" t="inlineStr">
        <is>
          <t>correct</t>
        </is>
      </c>
      <c r="U422">
        <f>IF(T422="correct",1,0)</f>
        <v/>
      </c>
      <c r="V422">
        <f>VLOOKUP(A422,Participants!$A$2:$B$86,2,FALSE)</f>
        <v/>
      </c>
    </row>
    <row r="423">
      <c r="A423" t="inlineStr">
        <is>
          <t>user_0130</t>
        </is>
      </c>
      <c r="B423" t="inlineStr">
        <is>
          <t>E1</t>
        </is>
      </c>
      <c r="C423" t="inlineStr">
        <is>
          <t>C2</t>
        </is>
      </c>
      <c r="D423" t="n">
        <v>1</v>
      </c>
      <c r="E423" t="inlineStr">
        <is>
          <t>2026-03-25T17:31:34.036570+00:00</t>
        </is>
      </c>
      <c r="F423" t="inlineStr">
        <is>
          <t>2026-03-25T17:31:34.059869+00:00</t>
        </is>
      </c>
      <c r="G423" t="n">
        <v>10</v>
      </c>
      <c r="H423" t="n">
        <v>126.55</v>
      </c>
      <c r="I423" t="n">
        <v>2</v>
      </c>
      <c r="J423" t="n">
        <v>1</v>
      </c>
      <c r="K423" t="n">
        <v>1</v>
      </c>
      <c r="M423" t="inlineStr">
        <is>
          <t>matches_completely</t>
        </is>
      </c>
      <c r="N423" t="n">
        <v>5</v>
      </c>
      <c r="O423" t="inlineStr">
        <is>
          <t>yes</t>
        </is>
      </c>
      <c r="Q423" t="inlineStr">
        <is>
          <t>correct</t>
        </is>
      </c>
      <c r="R423" t="inlineStr">
        <is>
          <t>correct</t>
        </is>
      </c>
      <c r="S423" t="inlineStr">
        <is>
          <t>partially</t>
        </is>
      </c>
      <c r="T423" t="inlineStr">
        <is>
          <t>correct</t>
        </is>
      </c>
      <c r="U423">
        <f>IF(T423="correct",1,0)</f>
        <v/>
      </c>
      <c r="V423">
        <f>VLOOKUP(A423,Participants!$A$2:$B$86,2,FALSE)</f>
        <v/>
      </c>
    </row>
    <row r="424">
      <c r="A424" t="inlineStr">
        <is>
          <t>user_0130</t>
        </is>
      </c>
      <c r="B424" t="inlineStr">
        <is>
          <t>E3</t>
        </is>
      </c>
      <c r="C424" t="inlineStr">
        <is>
          <t>C3</t>
        </is>
      </c>
      <c r="D424" t="n">
        <v>2</v>
      </c>
      <c r="E424" t="inlineStr">
        <is>
          <t>2026-03-25T17:37:42.193083+00:00</t>
        </is>
      </c>
      <c r="F424" t="inlineStr">
        <is>
          <t>2026-03-25T17:37:42.218612+00:00</t>
        </is>
      </c>
      <c r="G424" t="n">
        <v>12</v>
      </c>
      <c r="H424" t="n">
        <v>182.52</v>
      </c>
      <c r="I424" t="n">
        <v>2</v>
      </c>
      <c r="J424" t="n">
        <v>1</v>
      </c>
      <c r="K424" t="n">
        <v>1</v>
      </c>
      <c r="M424" t="inlineStr">
        <is>
          <t>matches_completely</t>
        </is>
      </c>
      <c r="N424" t="n">
        <v>4</v>
      </c>
      <c r="O424" t="inlineStr">
        <is>
          <t>yes</t>
        </is>
      </c>
      <c r="Q424" t="inlineStr">
        <is>
          <t>correct</t>
        </is>
      </c>
      <c r="R424" t="inlineStr">
        <is>
          <t>correct</t>
        </is>
      </c>
      <c r="S424" t="inlineStr">
        <is>
          <t>partially</t>
        </is>
      </c>
      <c r="T424" t="inlineStr">
        <is>
          <t>correct</t>
        </is>
      </c>
      <c r="U424">
        <f>IF(T424="correct",1,0)</f>
        <v/>
      </c>
      <c r="V424">
        <f>VLOOKUP(A424,Participants!$A$2:$B$86,2,FALSE)</f>
        <v/>
      </c>
    </row>
    <row r="425">
      <c r="A425" t="inlineStr">
        <is>
          <t>user_0130</t>
        </is>
      </c>
      <c r="B425" t="inlineStr">
        <is>
          <t>E5</t>
        </is>
      </c>
      <c r="C425" t="inlineStr">
        <is>
          <t>C1</t>
        </is>
      </c>
      <c r="D425" t="n">
        <v>3</v>
      </c>
      <c r="E425" t="inlineStr">
        <is>
          <t>2026-03-25T17:51:08.993212+00:00</t>
        </is>
      </c>
      <c r="F425" t="inlineStr">
        <is>
          <t>2026-03-25T17:59:42.253852+00:00</t>
        </is>
      </c>
      <c r="G425" t="n">
        <v>8</v>
      </c>
      <c r="H425" t="n">
        <v>985.72</v>
      </c>
      <c r="I425" t="n">
        <v>1</v>
      </c>
      <c r="J425" t="n">
        <v>1</v>
      </c>
      <c r="K425" t="n">
        <v>1</v>
      </c>
      <c r="M425" t="inlineStr">
        <is>
          <t>matches_completely</t>
        </is>
      </c>
      <c r="N425" t="n">
        <v>4</v>
      </c>
      <c r="O425" t="inlineStr">
        <is>
          <t>yes</t>
        </is>
      </c>
      <c r="Q425" t="inlineStr">
        <is>
          <t>correct</t>
        </is>
      </c>
      <c r="R425" t="inlineStr">
        <is>
          <t>correct</t>
        </is>
      </c>
      <c r="S425" t="inlineStr">
        <is>
          <t>matches_completely</t>
        </is>
      </c>
      <c r="T425" t="inlineStr">
        <is>
          <t>correct</t>
        </is>
      </c>
      <c r="U425">
        <f>IF(T425="correct",1,0)</f>
        <v/>
      </c>
      <c r="V425">
        <f>VLOOKUP(A425,Participants!$A$2:$B$86,2,FALSE)</f>
        <v/>
      </c>
    </row>
    <row r="426">
      <c r="A426" t="inlineStr">
        <is>
          <t>user_0130</t>
        </is>
      </c>
      <c r="B426" t="inlineStr">
        <is>
          <t>E4</t>
        </is>
      </c>
      <c r="C426" t="inlineStr">
        <is>
          <t>C2</t>
        </is>
      </c>
      <c r="D426" t="n">
        <v>4</v>
      </c>
      <c r="E426" t="inlineStr">
        <is>
          <t>2026-03-25T17:53:06.256161+00:00</t>
        </is>
      </c>
      <c r="F426" t="inlineStr">
        <is>
          <t>2026-03-25T17:53:06.275675+00:00</t>
        </is>
      </c>
      <c r="G426" t="n">
        <v>7</v>
      </c>
      <c r="H426" t="n">
        <v>98.38</v>
      </c>
      <c r="I426" t="n">
        <v>2</v>
      </c>
      <c r="J426" t="n">
        <v>1</v>
      </c>
      <c r="K426" t="n">
        <v>1</v>
      </c>
      <c r="M426" t="inlineStr">
        <is>
          <t>matches_completely</t>
        </is>
      </c>
      <c r="N426" t="n">
        <v>5</v>
      </c>
      <c r="O426" t="inlineStr">
        <is>
          <t>yes</t>
        </is>
      </c>
      <c r="Q426" t="inlineStr">
        <is>
          <t>correct</t>
        </is>
      </c>
      <c r="R426" t="inlineStr">
        <is>
          <t>correct</t>
        </is>
      </c>
      <c r="S426" t="inlineStr">
        <is>
          <t>matches_completely</t>
        </is>
      </c>
      <c r="T426" t="inlineStr">
        <is>
          <t>correct</t>
        </is>
      </c>
      <c r="U426">
        <f>IF(T426="correct",1,0)</f>
        <v/>
      </c>
      <c r="V426">
        <f>VLOOKUP(A426,Participants!$A$2:$B$86,2,FALSE)</f>
        <v/>
      </c>
    </row>
    <row r="427">
      <c r="A427" t="inlineStr">
        <is>
          <t>user_0130</t>
        </is>
      </c>
      <c r="B427" t="inlineStr">
        <is>
          <t>E6</t>
        </is>
      </c>
      <c r="C427" t="inlineStr">
        <is>
          <t>C3</t>
        </is>
      </c>
      <c r="D427" t="n">
        <v>5</v>
      </c>
      <c r="E427" t="inlineStr">
        <is>
          <t>2026-03-25T18:01:10.333836+00:00</t>
        </is>
      </c>
      <c r="F427" t="inlineStr">
        <is>
          <t>2026-03-25T18:01:10.353155+00:00</t>
        </is>
      </c>
      <c r="G427" t="n">
        <v>4</v>
      </c>
      <c r="H427" t="n">
        <v>81.77</v>
      </c>
      <c r="I427" t="n">
        <v>1</v>
      </c>
      <c r="J427" t="n">
        <v>1</v>
      </c>
      <c r="K427" t="n">
        <v>1</v>
      </c>
      <c r="M427" t="inlineStr">
        <is>
          <t>matches_completely</t>
        </is>
      </c>
      <c r="N427" t="n">
        <v>4</v>
      </c>
      <c r="O427" t="inlineStr">
        <is>
          <t>yes</t>
        </is>
      </c>
      <c r="Q427" t="inlineStr">
        <is>
          <t>correct</t>
        </is>
      </c>
      <c r="R427" t="inlineStr">
        <is>
          <t>correct</t>
        </is>
      </c>
      <c r="S427" t="inlineStr">
        <is>
          <t>matches_completely</t>
        </is>
      </c>
      <c r="T427" t="inlineStr">
        <is>
          <t>correct</t>
        </is>
      </c>
      <c r="U427">
        <f>IF(T427="correct",1,0)</f>
        <v/>
      </c>
      <c r="V427">
        <f>VLOOKUP(A427,Participants!$A$2:$B$86,2,FALSE)</f>
        <v/>
      </c>
    </row>
    <row r="428">
      <c r="A428" t="inlineStr">
        <is>
          <t>user_0131</t>
        </is>
      </c>
      <c r="B428" t="inlineStr">
        <is>
          <t>E2</t>
        </is>
      </c>
      <c r="C428" t="inlineStr">
        <is>
          <t>C1</t>
        </is>
      </c>
      <c r="D428" t="n">
        <v>0</v>
      </c>
      <c r="E428" t="inlineStr">
        <is>
          <t>2026-03-25T19:19:18.734725+00:00</t>
        </is>
      </c>
      <c r="F428" t="inlineStr">
        <is>
          <t>2026-03-25T19:19:18.756421+00:00</t>
        </is>
      </c>
      <c r="G428" t="n">
        <v>4</v>
      </c>
      <c r="H428" t="n">
        <v>353.41</v>
      </c>
      <c r="I428" t="n">
        <v>1</v>
      </c>
      <c r="J428" t="n">
        <v>1</v>
      </c>
      <c r="K428" t="n">
        <v>1</v>
      </c>
      <c r="M428" t="inlineStr">
        <is>
          <t>matches_completely</t>
        </is>
      </c>
      <c r="N428" t="n">
        <v>2</v>
      </c>
      <c r="O428" t="inlineStr">
        <is>
          <t>yes</t>
        </is>
      </c>
      <c r="Q428" t="inlineStr">
        <is>
          <t>correct</t>
        </is>
      </c>
      <c r="R428" t="inlineStr">
        <is>
          <t>correct</t>
        </is>
      </c>
      <c r="S428" t="inlineStr">
        <is>
          <t>does_not_match</t>
        </is>
      </c>
      <c r="T428" t="inlineStr">
        <is>
          <t>correct</t>
        </is>
      </c>
      <c r="U428">
        <f>IF(T428="correct",1,0)</f>
        <v/>
      </c>
      <c r="V428">
        <f>VLOOKUP(A428,Participants!$A$2:$B$86,2,FALSE)</f>
        <v/>
      </c>
    </row>
    <row r="429">
      <c r="A429" t="inlineStr">
        <is>
          <t>user_0131</t>
        </is>
      </c>
      <c r="B429" t="inlineStr">
        <is>
          <t>E1</t>
        </is>
      </c>
      <c r="C429" t="inlineStr">
        <is>
          <t>C2</t>
        </is>
      </c>
      <c r="D429" t="n">
        <v>1</v>
      </c>
      <c r="E429" t="inlineStr">
        <is>
          <t>2026-03-25T19:25:07.120383+00:00</t>
        </is>
      </c>
      <c r="F429" t="inlineStr">
        <is>
          <t>2026-03-25T19:25:07.141125+00:00</t>
        </is>
      </c>
      <c r="G429" t="n">
        <v>4</v>
      </c>
      <c r="H429" t="n">
        <v>166.72</v>
      </c>
      <c r="I429" t="n">
        <v>1</v>
      </c>
      <c r="J429" t="n">
        <v>1</v>
      </c>
      <c r="K429" t="n">
        <v>1</v>
      </c>
      <c r="M429" t="inlineStr">
        <is>
          <t>matches_completely</t>
        </is>
      </c>
      <c r="N429" t="n">
        <v>4</v>
      </c>
      <c r="O429" t="inlineStr">
        <is>
          <t>yes</t>
        </is>
      </c>
      <c r="Q429" t="inlineStr">
        <is>
          <t>correct</t>
        </is>
      </c>
      <c r="R429" t="inlineStr">
        <is>
          <t>correct</t>
        </is>
      </c>
      <c r="S429" t="inlineStr">
        <is>
          <t>matches_completely</t>
        </is>
      </c>
      <c r="T429" t="inlineStr">
        <is>
          <t>correct</t>
        </is>
      </c>
      <c r="U429">
        <f>IF(T429="correct",1,0)</f>
        <v/>
      </c>
      <c r="V429">
        <f>VLOOKUP(A429,Participants!$A$2:$B$86,2,FALSE)</f>
        <v/>
      </c>
    </row>
    <row r="430">
      <c r="A430" t="inlineStr">
        <is>
          <t>user_0131</t>
        </is>
      </c>
      <c r="B430" t="inlineStr">
        <is>
          <t>E3</t>
        </is>
      </c>
      <c r="C430" t="inlineStr">
        <is>
          <t>C3</t>
        </is>
      </c>
      <c r="D430" t="n">
        <v>2</v>
      </c>
      <c r="E430" t="inlineStr">
        <is>
          <t>2026-03-25T19:35:55.662681+00:00</t>
        </is>
      </c>
      <c r="F430" t="inlineStr">
        <is>
          <t>2026-03-25T19:35:55.683017+00:00</t>
        </is>
      </c>
      <c r="G430" t="n">
        <v>4</v>
      </c>
      <c r="H430" t="n">
        <v>514.2</v>
      </c>
      <c r="I430" t="n">
        <v>1</v>
      </c>
      <c r="J430" t="n">
        <v>1</v>
      </c>
      <c r="K430" t="n">
        <v>1</v>
      </c>
      <c r="M430" t="inlineStr">
        <is>
          <t>partially</t>
        </is>
      </c>
      <c r="N430" t="n">
        <v>4</v>
      </c>
      <c r="O430" t="inlineStr">
        <is>
          <t>yes</t>
        </is>
      </c>
      <c r="Q430" t="inlineStr">
        <is>
          <t>correct</t>
        </is>
      </c>
      <c r="R430" t="inlineStr">
        <is>
          <t>correct</t>
        </is>
      </c>
      <c r="S430" t="inlineStr">
        <is>
          <t>matches_completely</t>
        </is>
      </c>
      <c r="T430" t="inlineStr">
        <is>
          <t>correct</t>
        </is>
      </c>
      <c r="U430">
        <f>IF(T430="correct",1,0)</f>
        <v/>
      </c>
      <c r="V430">
        <f>VLOOKUP(A430,Participants!$A$2:$B$86,2,FALSE)</f>
        <v/>
      </c>
    </row>
    <row r="431">
      <c r="A431" t="inlineStr">
        <is>
          <t>user_0131</t>
        </is>
      </c>
      <c r="B431" t="inlineStr">
        <is>
          <t>E5</t>
        </is>
      </c>
      <c r="C431" t="inlineStr">
        <is>
          <t>C1</t>
        </is>
      </c>
      <c r="D431" t="n">
        <v>3</v>
      </c>
      <c r="E431" t="inlineStr">
        <is>
          <t>2026-03-25T19:44:21.402464+00:00</t>
        </is>
      </c>
      <c r="F431" t="inlineStr">
        <is>
          <t>2026-03-25T19:44:21.426500+00:00</t>
        </is>
      </c>
      <c r="G431" t="n">
        <v>4</v>
      </c>
      <c r="H431" t="n">
        <v>318.61</v>
      </c>
      <c r="I431" t="n">
        <v>1</v>
      </c>
      <c r="J431" t="n">
        <v>1</v>
      </c>
      <c r="K431" t="n">
        <v>1</v>
      </c>
      <c r="M431" t="inlineStr">
        <is>
          <t>matches_completely</t>
        </is>
      </c>
      <c r="N431" t="n">
        <v>3</v>
      </c>
      <c r="O431" t="inlineStr">
        <is>
          <t>yes</t>
        </is>
      </c>
      <c r="Q431" t="inlineStr">
        <is>
          <t>correct</t>
        </is>
      </c>
      <c r="R431" t="inlineStr">
        <is>
          <t>correct</t>
        </is>
      </c>
      <c r="S431" t="inlineStr">
        <is>
          <t>partially</t>
        </is>
      </c>
      <c r="T431" t="inlineStr">
        <is>
          <t>correct</t>
        </is>
      </c>
      <c r="U431">
        <f>IF(T431="correct",1,0)</f>
        <v/>
      </c>
      <c r="V431">
        <f>VLOOKUP(A431,Participants!$A$2:$B$86,2,FALSE)</f>
        <v/>
      </c>
    </row>
    <row r="432">
      <c r="A432" t="inlineStr">
        <is>
          <t>user_0131</t>
        </is>
      </c>
      <c r="B432" t="inlineStr">
        <is>
          <t>E4</t>
        </is>
      </c>
      <c r="C432" t="inlineStr">
        <is>
          <t>C2</t>
        </is>
      </c>
      <c r="D432" t="n">
        <v>4</v>
      </c>
      <c r="E432" t="inlineStr">
        <is>
          <t>2026-03-25T19:49:39.977127+00:00</t>
        </is>
      </c>
      <c r="F432" t="inlineStr">
        <is>
          <t>2026-03-25T19:49:39.998618+00:00</t>
        </is>
      </c>
      <c r="G432" t="n">
        <v>4</v>
      </c>
      <c r="H432" t="n">
        <v>192.36</v>
      </c>
      <c r="I432" t="n">
        <v>1</v>
      </c>
      <c r="J432" t="n">
        <v>1</v>
      </c>
      <c r="K432" t="n">
        <v>1</v>
      </c>
      <c r="M432" t="inlineStr">
        <is>
          <t>matches_completely</t>
        </is>
      </c>
      <c r="N432" t="n">
        <v>1</v>
      </c>
      <c r="O432" t="inlineStr">
        <is>
          <t>yes</t>
        </is>
      </c>
      <c r="Q432" t="inlineStr">
        <is>
          <t>correct</t>
        </is>
      </c>
      <c r="R432" t="inlineStr">
        <is>
          <t>correct</t>
        </is>
      </c>
      <c r="S432" t="inlineStr">
        <is>
          <t>matches_completely</t>
        </is>
      </c>
      <c r="T432" t="inlineStr">
        <is>
          <t>correct</t>
        </is>
      </c>
      <c r="U432">
        <f>IF(T432="correct",1,0)</f>
        <v/>
      </c>
      <c r="V432">
        <f>VLOOKUP(A432,Participants!$A$2:$B$86,2,FALSE)</f>
        <v/>
      </c>
    </row>
    <row r="433">
      <c r="A433" t="inlineStr">
        <is>
          <t>user_0131</t>
        </is>
      </c>
      <c r="B433" t="inlineStr">
        <is>
          <t>E6</t>
        </is>
      </c>
      <c r="C433" t="inlineStr">
        <is>
          <t>C3</t>
        </is>
      </c>
      <c r="D433" t="n">
        <v>5</v>
      </c>
      <c r="E433" t="inlineStr">
        <is>
          <t>2026-03-25T19:52:10.630279+00:00</t>
        </is>
      </c>
      <c r="F433" t="inlineStr">
        <is>
          <t>2026-03-25T19:52:10.652072+00:00</t>
        </is>
      </c>
      <c r="G433" t="n">
        <v>4</v>
      </c>
      <c r="H433" t="n">
        <v>56.26</v>
      </c>
      <c r="I433" t="n">
        <v>1</v>
      </c>
      <c r="J433" t="n">
        <v>1</v>
      </c>
      <c r="K433" t="n">
        <v>1</v>
      </c>
      <c r="M433" t="inlineStr">
        <is>
          <t>matches_completely</t>
        </is>
      </c>
      <c r="N433" t="n">
        <v>3</v>
      </c>
      <c r="O433" t="inlineStr">
        <is>
          <t>yes</t>
        </is>
      </c>
      <c r="Q433" t="inlineStr">
        <is>
          <t>correct</t>
        </is>
      </c>
      <c r="R433" t="inlineStr">
        <is>
          <t>correct</t>
        </is>
      </c>
      <c r="S433" t="inlineStr">
        <is>
          <t>matches_completely</t>
        </is>
      </c>
      <c r="T433" t="inlineStr">
        <is>
          <t>correct</t>
        </is>
      </c>
      <c r="U433">
        <f>IF(T433="correct",1,0)</f>
        <v/>
      </c>
      <c r="V433">
        <f>VLOOKUP(A433,Participants!$A$2:$B$86,2,FALSE)</f>
        <v/>
      </c>
    </row>
    <row r="434">
      <c r="A434" t="inlineStr">
        <is>
          <t>user_0132</t>
        </is>
      </c>
      <c r="B434" t="inlineStr">
        <is>
          <t>E2</t>
        </is>
      </c>
      <c r="C434" t="inlineStr">
        <is>
          <t>C1</t>
        </is>
      </c>
      <c r="D434" t="n">
        <v>0</v>
      </c>
      <c r="E434" t="inlineStr">
        <is>
          <t>2026-03-25T16:42:30.258544+00:00</t>
        </is>
      </c>
      <c r="F434" t="inlineStr">
        <is>
          <t>2026-03-25T16:42:30.281101+00:00</t>
        </is>
      </c>
      <c r="G434" t="n">
        <v>4</v>
      </c>
      <c r="H434" t="n">
        <v>67.5</v>
      </c>
      <c r="I434" t="n">
        <v>1</v>
      </c>
      <c r="J434" t="n">
        <v>1</v>
      </c>
      <c r="K434" t="n">
        <v>1</v>
      </c>
      <c r="M434" t="inlineStr">
        <is>
          <t>matches_completely</t>
        </is>
      </c>
      <c r="N434" t="n">
        <v>5</v>
      </c>
      <c r="O434" t="inlineStr">
        <is>
          <t>yes</t>
        </is>
      </c>
      <c r="Q434" t="inlineStr">
        <is>
          <t>correct</t>
        </is>
      </c>
      <c r="R434" t="inlineStr">
        <is>
          <t>correct</t>
        </is>
      </c>
      <c r="S434" t="inlineStr">
        <is>
          <t>matches_completely</t>
        </is>
      </c>
      <c r="T434" t="inlineStr">
        <is>
          <t>correct</t>
        </is>
      </c>
      <c r="U434">
        <f>IF(T434="correct",1,0)</f>
        <v/>
      </c>
      <c r="V434">
        <f>VLOOKUP(A434,Participants!$A$2:$B$86,2,FALSE)</f>
        <v/>
      </c>
    </row>
    <row r="435">
      <c r="A435" t="inlineStr">
        <is>
          <t>user_0132</t>
        </is>
      </c>
      <c r="B435" t="inlineStr">
        <is>
          <t>E1</t>
        </is>
      </c>
      <c r="C435" t="inlineStr">
        <is>
          <t>C2</t>
        </is>
      </c>
      <c r="D435" t="n">
        <v>1</v>
      </c>
      <c r="E435" t="inlineStr">
        <is>
          <t>2026-03-25T16:44:56.333656+00:00</t>
        </is>
      </c>
      <c r="F435" t="inlineStr">
        <is>
          <t>2026-03-25T16:44:56.353077+00:00</t>
        </is>
      </c>
      <c r="G435" t="n">
        <v>4</v>
      </c>
      <c r="H435" t="n">
        <v>111.47</v>
      </c>
      <c r="I435" t="n">
        <v>1</v>
      </c>
      <c r="J435" t="n">
        <v>1</v>
      </c>
      <c r="K435" t="n">
        <v>1</v>
      </c>
      <c r="M435" t="inlineStr">
        <is>
          <t>matches_completely</t>
        </is>
      </c>
      <c r="N435" t="n">
        <v>4</v>
      </c>
      <c r="O435" t="inlineStr">
        <is>
          <t>yes</t>
        </is>
      </c>
      <c r="Q435" t="inlineStr">
        <is>
          <t>correct</t>
        </is>
      </c>
      <c r="R435" t="inlineStr">
        <is>
          <t>correct</t>
        </is>
      </c>
      <c r="S435" t="inlineStr">
        <is>
          <t>matches_completely</t>
        </is>
      </c>
      <c r="T435" t="inlineStr">
        <is>
          <t>correct</t>
        </is>
      </c>
      <c r="U435">
        <f>IF(T435="correct",1,0)</f>
        <v/>
      </c>
      <c r="V435">
        <f>VLOOKUP(A435,Participants!$A$2:$B$86,2,FALSE)</f>
        <v/>
      </c>
    </row>
    <row r="436">
      <c r="A436" t="inlineStr">
        <is>
          <t>user_0132</t>
        </is>
      </c>
      <c r="B436" t="inlineStr">
        <is>
          <t>E3</t>
        </is>
      </c>
      <c r="C436" t="inlineStr">
        <is>
          <t>C3</t>
        </is>
      </c>
      <c r="D436" t="n">
        <v>2</v>
      </c>
      <c r="E436" t="inlineStr">
        <is>
          <t>2026-03-25T16:47:03.017736+00:00</t>
        </is>
      </c>
      <c r="F436" t="inlineStr">
        <is>
          <t>2026-03-25T16:47:03.039014+00:00</t>
        </is>
      </c>
      <c r="G436" t="n">
        <v>4</v>
      </c>
      <c r="H436" t="n">
        <v>100.28</v>
      </c>
      <c r="I436" t="n">
        <v>1</v>
      </c>
      <c r="J436" t="n">
        <v>1</v>
      </c>
      <c r="K436" t="n">
        <v>1</v>
      </c>
      <c r="M436" t="inlineStr">
        <is>
          <t>matches_completely</t>
        </is>
      </c>
      <c r="N436" t="n">
        <v>3</v>
      </c>
      <c r="O436" t="inlineStr">
        <is>
          <t>yes</t>
        </is>
      </c>
      <c r="Q436" t="inlineStr">
        <is>
          <t>correct</t>
        </is>
      </c>
      <c r="R436" t="inlineStr">
        <is>
          <t>correct</t>
        </is>
      </c>
      <c r="S436" t="inlineStr">
        <is>
          <t>matches_completely</t>
        </is>
      </c>
      <c r="T436" t="inlineStr">
        <is>
          <t>correct</t>
        </is>
      </c>
      <c r="U436">
        <f>IF(T436="correct",1,0)</f>
        <v/>
      </c>
      <c r="V436">
        <f>VLOOKUP(A436,Participants!$A$2:$B$86,2,FALSE)</f>
        <v/>
      </c>
    </row>
    <row r="437">
      <c r="A437" t="inlineStr">
        <is>
          <t>user_0132</t>
        </is>
      </c>
      <c r="B437" t="inlineStr">
        <is>
          <t>E5</t>
        </is>
      </c>
      <c r="C437" t="inlineStr">
        <is>
          <t>C1</t>
        </is>
      </c>
      <c r="D437" t="n">
        <v>3</v>
      </c>
      <c r="E437" t="inlineStr">
        <is>
          <t>2026-03-25T16:49:56.483668+00:00</t>
        </is>
      </c>
      <c r="F437" t="inlineStr">
        <is>
          <t>2026-03-25T16:49:56.506345+00:00</t>
        </is>
      </c>
      <c r="G437" t="n">
        <v>4</v>
      </c>
      <c r="H437" t="n">
        <v>39.34</v>
      </c>
      <c r="I437" t="n">
        <v>1</v>
      </c>
      <c r="J437" t="n">
        <v>1</v>
      </c>
      <c r="K437" t="n">
        <v>1</v>
      </c>
      <c r="M437" t="inlineStr">
        <is>
          <t>matches_completely</t>
        </is>
      </c>
      <c r="N437" t="n">
        <v>5</v>
      </c>
      <c r="O437" t="inlineStr">
        <is>
          <t>yes</t>
        </is>
      </c>
      <c r="Q437" t="inlineStr">
        <is>
          <t>correct</t>
        </is>
      </c>
      <c r="R437" t="inlineStr">
        <is>
          <t>correct</t>
        </is>
      </c>
      <c r="S437" t="inlineStr">
        <is>
          <t>matches_completely</t>
        </is>
      </c>
      <c r="T437" t="inlineStr">
        <is>
          <t>correct</t>
        </is>
      </c>
      <c r="U437">
        <f>IF(T437="correct",1,0)</f>
        <v/>
      </c>
      <c r="V437">
        <f>VLOOKUP(A437,Participants!$A$2:$B$86,2,FALSE)</f>
        <v/>
      </c>
    </row>
    <row r="438">
      <c r="A438" t="inlineStr">
        <is>
          <t>user_0132</t>
        </is>
      </c>
      <c r="B438" t="inlineStr">
        <is>
          <t>E4</t>
        </is>
      </c>
      <c r="C438" t="inlineStr">
        <is>
          <t>C2</t>
        </is>
      </c>
      <c r="D438" t="n">
        <v>4</v>
      </c>
      <c r="E438" t="inlineStr">
        <is>
          <t>2026-03-25T16:50:50.349581+00:00</t>
        </is>
      </c>
      <c r="F438" t="inlineStr">
        <is>
          <t>2026-03-25T16:50:50.370684+00:00</t>
        </is>
      </c>
      <c r="G438" t="n">
        <v>4</v>
      </c>
      <c r="H438" t="n">
        <v>38.88</v>
      </c>
      <c r="I438" t="n">
        <v>1</v>
      </c>
      <c r="J438" t="n">
        <v>1</v>
      </c>
      <c r="K438" t="n">
        <v>1</v>
      </c>
      <c r="M438" t="inlineStr">
        <is>
          <t>matches_completely</t>
        </is>
      </c>
      <c r="N438" t="n">
        <v>3</v>
      </c>
      <c r="O438" t="inlineStr">
        <is>
          <t>yes</t>
        </is>
      </c>
      <c r="Q438" t="inlineStr">
        <is>
          <t>correct</t>
        </is>
      </c>
      <c r="R438" t="inlineStr">
        <is>
          <t>correct</t>
        </is>
      </c>
      <c r="S438" t="inlineStr">
        <is>
          <t>partially</t>
        </is>
      </c>
      <c r="T438" t="inlineStr">
        <is>
          <t>correct</t>
        </is>
      </c>
      <c r="U438">
        <f>IF(T438="correct",1,0)</f>
        <v/>
      </c>
      <c r="V438">
        <f>VLOOKUP(A438,Participants!$A$2:$B$86,2,FALSE)</f>
        <v/>
      </c>
    </row>
    <row r="439">
      <c r="A439" t="inlineStr">
        <is>
          <t>user_0132</t>
        </is>
      </c>
      <c r="B439" t="inlineStr">
        <is>
          <t>E6</t>
        </is>
      </c>
      <c r="C439" t="inlineStr">
        <is>
          <t>C3</t>
        </is>
      </c>
      <c r="D439" t="n">
        <v>5</v>
      </c>
      <c r="E439" t="inlineStr">
        <is>
          <t>2026-03-25T16:51:41.171306+00:00</t>
        </is>
      </c>
      <c r="F439" t="inlineStr">
        <is>
          <t>2026-03-25T16:51:41.191854+00:00</t>
        </is>
      </c>
      <c r="G439" t="n">
        <v>4</v>
      </c>
      <c r="H439" t="n">
        <v>38.59</v>
      </c>
      <c r="I439" t="n">
        <v>1</v>
      </c>
      <c r="J439" t="n">
        <v>1</v>
      </c>
      <c r="K439" t="n">
        <v>1</v>
      </c>
      <c r="M439" t="inlineStr">
        <is>
          <t>matches_completely</t>
        </is>
      </c>
      <c r="N439" t="n">
        <v>4</v>
      </c>
      <c r="O439" t="inlineStr">
        <is>
          <t>yes</t>
        </is>
      </c>
      <c r="Q439" t="inlineStr">
        <is>
          <t>correct</t>
        </is>
      </c>
      <c r="R439" t="inlineStr">
        <is>
          <t>correct</t>
        </is>
      </c>
      <c r="S439" t="inlineStr">
        <is>
          <t>matches_completely</t>
        </is>
      </c>
      <c r="T439" t="inlineStr">
        <is>
          <t>correct</t>
        </is>
      </c>
      <c r="U439">
        <f>IF(T439="correct",1,0)</f>
        <v/>
      </c>
      <c r="V439">
        <f>VLOOKUP(A439,Participants!$A$2:$B$86,2,FALSE)</f>
        <v/>
      </c>
    </row>
    <row r="440">
      <c r="A440" t="inlineStr">
        <is>
          <t>user_0133</t>
        </is>
      </c>
      <c r="B440" t="inlineStr">
        <is>
          <t>E2</t>
        </is>
      </c>
      <c r="C440" t="inlineStr">
        <is>
          <t>C1</t>
        </is>
      </c>
      <c r="D440" t="n">
        <v>0</v>
      </c>
      <c r="E440" t="inlineStr">
        <is>
          <t>2026-03-25T19:18:27.696803+00:00</t>
        </is>
      </c>
      <c r="F440" t="inlineStr">
        <is>
          <t>2026-03-25T19:18:27.720555+00:00</t>
        </is>
      </c>
      <c r="G440" t="n">
        <v>4</v>
      </c>
      <c r="H440" t="n">
        <v>349.45</v>
      </c>
      <c r="I440" t="n">
        <v>1</v>
      </c>
      <c r="J440" t="n">
        <v>1</v>
      </c>
      <c r="K440" t="n">
        <v>1</v>
      </c>
      <c r="M440" t="inlineStr">
        <is>
          <t>matches_completely</t>
        </is>
      </c>
      <c r="N440" t="n">
        <v>4</v>
      </c>
      <c r="O440" t="inlineStr">
        <is>
          <t>yes</t>
        </is>
      </c>
      <c r="Q440" t="inlineStr">
        <is>
          <t>correct</t>
        </is>
      </c>
      <c r="R440" t="inlineStr">
        <is>
          <t>correct</t>
        </is>
      </c>
      <c r="T440" t="inlineStr">
        <is>
          <t>correct</t>
        </is>
      </c>
      <c r="U440">
        <f>IF(T440="correct",1,0)</f>
        <v/>
      </c>
      <c r="V440">
        <f>VLOOKUP(A440,Participants!$A$2:$B$86,2,FALSE)</f>
        <v/>
      </c>
    </row>
    <row r="441">
      <c r="A441" t="inlineStr">
        <is>
          <t>user_0133</t>
        </is>
      </c>
      <c r="B441" t="inlineStr">
        <is>
          <t>E1</t>
        </is>
      </c>
      <c r="C441" t="inlineStr">
        <is>
          <t>C2</t>
        </is>
      </c>
      <c r="D441" t="n">
        <v>1</v>
      </c>
      <c r="E441" t="inlineStr">
        <is>
          <t>2026-03-25T19:26:17.384049+00:00</t>
        </is>
      </c>
      <c r="F441" t="inlineStr">
        <is>
          <t>2026-03-25T19:26:17.403907+00:00</t>
        </is>
      </c>
      <c r="G441" t="n">
        <v>4</v>
      </c>
      <c r="H441" t="n">
        <v>71.06</v>
      </c>
      <c r="I441" t="n">
        <v>1</v>
      </c>
      <c r="J441" t="n">
        <v>1</v>
      </c>
      <c r="K441" t="n">
        <v>1</v>
      </c>
      <c r="M441" t="inlineStr">
        <is>
          <t>matches_completely</t>
        </is>
      </c>
      <c r="N441" t="n">
        <v>5</v>
      </c>
      <c r="O441" t="inlineStr">
        <is>
          <t>yes</t>
        </is>
      </c>
      <c r="Q441" t="inlineStr">
        <is>
          <t>correct</t>
        </is>
      </c>
      <c r="R441" t="inlineStr">
        <is>
          <t>correct</t>
        </is>
      </c>
      <c r="T441" t="inlineStr">
        <is>
          <t>correct</t>
        </is>
      </c>
      <c r="U441">
        <f>IF(T441="correct",1,0)</f>
        <v/>
      </c>
      <c r="V441">
        <f>VLOOKUP(A441,Participants!$A$2:$B$86,2,FALSE)</f>
        <v/>
      </c>
    </row>
    <row r="442">
      <c r="A442" t="inlineStr">
        <is>
          <t>user_0133</t>
        </is>
      </c>
      <c r="B442" t="inlineStr">
        <is>
          <t>E3</t>
        </is>
      </c>
      <c r="C442" t="inlineStr">
        <is>
          <t>C3</t>
        </is>
      </c>
      <c r="D442" t="n">
        <v>2</v>
      </c>
      <c r="E442" t="inlineStr">
        <is>
          <t>2026-03-25T19:33:37.374653+00:00</t>
        </is>
      </c>
      <c r="F442" t="inlineStr">
        <is>
          <t>2026-03-25T19:33:37.401834+00:00</t>
        </is>
      </c>
      <c r="G442" t="n">
        <v>4</v>
      </c>
      <c r="H442" t="n">
        <v>136.94</v>
      </c>
      <c r="I442" t="n">
        <v>1</v>
      </c>
      <c r="J442" t="n">
        <v>1</v>
      </c>
      <c r="K442" t="n">
        <v>1</v>
      </c>
      <c r="M442" t="inlineStr">
        <is>
          <t>matches_completely</t>
        </is>
      </c>
      <c r="N442" t="n">
        <v>5</v>
      </c>
      <c r="O442" t="inlineStr">
        <is>
          <t>yes</t>
        </is>
      </c>
      <c r="Q442" t="inlineStr">
        <is>
          <t>correct</t>
        </is>
      </c>
      <c r="R442" t="inlineStr">
        <is>
          <t>correct</t>
        </is>
      </c>
      <c r="T442" t="inlineStr">
        <is>
          <t>correct</t>
        </is>
      </c>
      <c r="U442">
        <f>IF(T442="correct",1,0)</f>
        <v/>
      </c>
      <c r="V442">
        <f>VLOOKUP(A442,Participants!$A$2:$B$86,2,FALSE)</f>
        <v/>
      </c>
    </row>
    <row r="443">
      <c r="A443" t="inlineStr">
        <is>
          <t>user_0133</t>
        </is>
      </c>
      <c r="B443" t="inlineStr">
        <is>
          <t>E5</t>
        </is>
      </c>
      <c r="C443" t="inlineStr">
        <is>
          <t>C1</t>
        </is>
      </c>
      <c r="D443" t="n">
        <v>3</v>
      </c>
      <c r="E443" t="inlineStr">
        <is>
          <t>2026-03-26T09:04:51.433459+00:00</t>
        </is>
      </c>
      <c r="F443" t="inlineStr">
        <is>
          <t>2026-03-26T09:04:51.450231+00:00</t>
        </is>
      </c>
      <c r="G443" t="n">
        <v>4</v>
      </c>
      <c r="H443" t="n">
        <v>72.48999999999999</v>
      </c>
      <c r="I443" t="n">
        <v>1</v>
      </c>
      <c r="J443" t="n">
        <v>1</v>
      </c>
      <c r="K443" t="n">
        <v>1</v>
      </c>
      <c r="M443" t="inlineStr">
        <is>
          <t>matches_completely</t>
        </is>
      </c>
      <c r="N443" t="n">
        <v>5</v>
      </c>
      <c r="O443" t="inlineStr">
        <is>
          <t>yes</t>
        </is>
      </c>
      <c r="Q443" t="inlineStr">
        <is>
          <t>correct</t>
        </is>
      </c>
      <c r="R443" t="inlineStr">
        <is>
          <t>correct</t>
        </is>
      </c>
      <c r="T443" t="inlineStr">
        <is>
          <t>correct</t>
        </is>
      </c>
      <c r="U443">
        <f>IF(T443="correct",1,0)</f>
        <v/>
      </c>
      <c r="V443">
        <f>VLOOKUP(A443,Participants!$A$2:$B$86,2,FALSE)</f>
        <v/>
      </c>
    </row>
    <row r="444">
      <c r="A444" t="inlineStr">
        <is>
          <t>user_0133</t>
        </is>
      </c>
      <c r="B444" t="inlineStr">
        <is>
          <t>E4</t>
        </is>
      </c>
      <c r="C444" t="inlineStr">
        <is>
          <t>C2</t>
        </is>
      </c>
      <c r="D444" t="n">
        <v>4</v>
      </c>
      <c r="E444" t="inlineStr">
        <is>
          <t>2026-03-26T09:11:30.888912+00:00</t>
        </is>
      </c>
      <c r="F444" t="inlineStr">
        <is>
          <t>2026-03-26T09:11:30.911658+00:00</t>
        </is>
      </c>
      <c r="G444" t="n">
        <v>4</v>
      </c>
      <c r="H444" t="n">
        <v>91.7</v>
      </c>
      <c r="I444" t="n">
        <v>1</v>
      </c>
      <c r="J444" t="n">
        <v>1</v>
      </c>
      <c r="K444" t="n">
        <v>1</v>
      </c>
      <c r="M444" t="inlineStr">
        <is>
          <t>matches_completely</t>
        </is>
      </c>
      <c r="N444" t="n">
        <v>5</v>
      </c>
      <c r="O444" t="inlineStr">
        <is>
          <t>yes</t>
        </is>
      </c>
      <c r="Q444" t="inlineStr">
        <is>
          <t>correct</t>
        </is>
      </c>
      <c r="R444" t="inlineStr">
        <is>
          <t>correct</t>
        </is>
      </c>
      <c r="T444" t="inlineStr">
        <is>
          <t>correct</t>
        </is>
      </c>
      <c r="U444">
        <f>IF(T444="correct",1,0)</f>
        <v/>
      </c>
      <c r="V444">
        <f>VLOOKUP(A444,Participants!$A$2:$B$86,2,FALSE)</f>
        <v/>
      </c>
    </row>
    <row r="445">
      <c r="A445" t="inlineStr">
        <is>
          <t>user_0133</t>
        </is>
      </c>
      <c r="B445" t="inlineStr">
        <is>
          <t>E6</t>
        </is>
      </c>
      <c r="C445" t="inlineStr">
        <is>
          <t>C3</t>
        </is>
      </c>
      <c r="D445" t="n">
        <v>5</v>
      </c>
      <c r="E445" t="inlineStr">
        <is>
          <t>2026-03-26T09:19:35.036089+00:00</t>
        </is>
      </c>
      <c r="F445" t="inlineStr">
        <is>
          <t>2026-03-26T09:19:35.056336+00:00</t>
        </is>
      </c>
      <c r="G445" t="n">
        <v>4</v>
      </c>
      <c r="H445" t="n">
        <v>141.58</v>
      </c>
      <c r="I445" t="n">
        <v>1</v>
      </c>
      <c r="J445" t="n">
        <v>1</v>
      </c>
      <c r="K445" t="n">
        <v>1</v>
      </c>
      <c r="M445" t="inlineStr">
        <is>
          <t>matches_completely</t>
        </is>
      </c>
      <c r="N445" t="n">
        <v>5</v>
      </c>
      <c r="O445" t="inlineStr">
        <is>
          <t>yes</t>
        </is>
      </c>
      <c r="Q445" t="inlineStr">
        <is>
          <t>correct</t>
        </is>
      </c>
      <c r="R445" t="inlineStr">
        <is>
          <t>correct</t>
        </is>
      </c>
      <c r="T445" t="inlineStr">
        <is>
          <t>correct</t>
        </is>
      </c>
      <c r="U445">
        <f>IF(T445="correct",1,0)</f>
        <v/>
      </c>
      <c r="V445">
        <f>VLOOKUP(A445,Participants!$A$2:$B$86,2,FALSE)</f>
        <v/>
      </c>
    </row>
    <row r="446">
      <c r="A446" t="inlineStr">
        <is>
          <t>user_0134</t>
        </is>
      </c>
      <c r="B446" t="inlineStr">
        <is>
          <t>E2</t>
        </is>
      </c>
      <c r="C446" t="inlineStr">
        <is>
          <t>C1</t>
        </is>
      </c>
      <c r="D446" t="n">
        <v>0</v>
      </c>
      <c r="E446" t="inlineStr">
        <is>
          <t>2026-03-25T19:05:10.751171+00:00</t>
        </is>
      </c>
      <c r="F446" t="inlineStr">
        <is>
          <t>2026-03-25T19:05:10.772003+00:00</t>
        </is>
      </c>
      <c r="G446" t="n">
        <v>4</v>
      </c>
      <c r="H446" t="n">
        <v>344.49</v>
      </c>
      <c r="I446" t="n">
        <v>1</v>
      </c>
      <c r="J446" t="n">
        <v>1</v>
      </c>
      <c r="K446" t="n">
        <v>1</v>
      </c>
      <c r="M446" t="inlineStr">
        <is>
          <t>matches_completely</t>
        </is>
      </c>
      <c r="N446" t="n">
        <v>5</v>
      </c>
      <c r="O446" t="inlineStr">
        <is>
          <t>yes</t>
        </is>
      </c>
      <c r="Q446" t="inlineStr">
        <is>
          <t>correct</t>
        </is>
      </c>
      <c r="R446" t="inlineStr">
        <is>
          <t>correct</t>
        </is>
      </c>
      <c r="S446" t="inlineStr">
        <is>
          <t>does_not_match</t>
        </is>
      </c>
      <c r="T446" t="inlineStr">
        <is>
          <t>correct</t>
        </is>
      </c>
      <c r="U446">
        <f>IF(T446="correct",1,0)</f>
        <v/>
      </c>
      <c r="V446">
        <f>VLOOKUP(A446,Participants!$A$2:$B$86,2,FALSE)</f>
        <v/>
      </c>
    </row>
    <row r="447">
      <c r="A447" t="inlineStr">
        <is>
          <t>user_0134</t>
        </is>
      </c>
      <c r="B447" t="inlineStr">
        <is>
          <t>E1</t>
        </is>
      </c>
      <c r="C447" t="inlineStr">
        <is>
          <t>C2</t>
        </is>
      </c>
      <c r="D447" t="n">
        <v>1</v>
      </c>
      <c r="E447" t="inlineStr">
        <is>
          <t>2026-03-25T19:09:32.919643+00:00</t>
        </is>
      </c>
      <c r="F447" t="inlineStr">
        <is>
          <t>2026-03-25T19:09:32.942088+00:00</t>
        </is>
      </c>
      <c r="G447" t="n">
        <v>8</v>
      </c>
      <c r="H447" t="n">
        <v>101.86</v>
      </c>
      <c r="I447" t="n">
        <v>2</v>
      </c>
      <c r="J447" t="n">
        <v>1</v>
      </c>
      <c r="K447" t="n">
        <v>1</v>
      </c>
      <c r="M447" t="inlineStr">
        <is>
          <t>matches_completely</t>
        </is>
      </c>
      <c r="N447" t="n">
        <v>5</v>
      </c>
      <c r="O447" t="inlineStr">
        <is>
          <t>yes</t>
        </is>
      </c>
      <c r="Q447" t="inlineStr">
        <is>
          <t>correct</t>
        </is>
      </c>
      <c r="R447" t="inlineStr">
        <is>
          <t>correct</t>
        </is>
      </c>
      <c r="S447" t="inlineStr">
        <is>
          <t>partially</t>
        </is>
      </c>
      <c r="T447" t="inlineStr">
        <is>
          <t>correct</t>
        </is>
      </c>
      <c r="U447">
        <f>IF(T447="correct",1,0)</f>
        <v/>
      </c>
      <c r="V447">
        <f>VLOOKUP(A447,Participants!$A$2:$B$86,2,FALSE)</f>
        <v/>
      </c>
    </row>
    <row r="448">
      <c r="A448" t="inlineStr">
        <is>
          <t>user_0134</t>
        </is>
      </c>
      <c r="B448" t="inlineStr">
        <is>
          <t>E3</t>
        </is>
      </c>
      <c r="C448" t="inlineStr">
        <is>
          <t>C3</t>
        </is>
      </c>
      <c r="D448" t="n">
        <v>2</v>
      </c>
      <c r="E448" t="inlineStr">
        <is>
          <t>2026-03-25T19:14:03.186559+00:00</t>
        </is>
      </c>
      <c r="F448" t="inlineStr">
        <is>
          <t>2026-03-25T19:14:03.212287+00:00</t>
        </is>
      </c>
      <c r="G448" t="n">
        <v>4</v>
      </c>
      <c r="H448" t="n">
        <v>105.91</v>
      </c>
      <c r="I448" t="n">
        <v>1</v>
      </c>
      <c r="J448" t="n">
        <v>1</v>
      </c>
      <c r="K448" t="n">
        <v>1</v>
      </c>
      <c r="M448" t="inlineStr">
        <is>
          <t>matches_completely</t>
        </is>
      </c>
      <c r="N448" t="n">
        <v>5</v>
      </c>
      <c r="O448" t="inlineStr">
        <is>
          <t>yes</t>
        </is>
      </c>
      <c r="Q448" t="inlineStr">
        <is>
          <t>correct</t>
        </is>
      </c>
      <c r="R448" t="inlineStr">
        <is>
          <t>correct</t>
        </is>
      </c>
      <c r="S448" t="inlineStr">
        <is>
          <t>matches_completely</t>
        </is>
      </c>
      <c r="T448" t="inlineStr">
        <is>
          <t>correct</t>
        </is>
      </c>
      <c r="U448">
        <f>IF(T448="correct",1,0)</f>
        <v/>
      </c>
      <c r="V448">
        <f>VLOOKUP(A448,Participants!$A$2:$B$86,2,FALSE)</f>
        <v/>
      </c>
    </row>
    <row r="449">
      <c r="A449" t="inlineStr">
        <is>
          <t>user_0134</t>
        </is>
      </c>
      <c r="B449" t="inlineStr">
        <is>
          <t>E5</t>
        </is>
      </c>
      <c r="C449" t="inlineStr">
        <is>
          <t>C1</t>
        </is>
      </c>
      <c r="D449" t="n">
        <v>3</v>
      </c>
      <c r="E449" t="inlineStr">
        <is>
          <t>2026-03-25T19:24:14.243360+00:00</t>
        </is>
      </c>
      <c r="F449" t="inlineStr">
        <is>
          <t>2026-03-25T19:24:14.268055+00:00</t>
        </is>
      </c>
      <c r="G449" t="n">
        <v>4</v>
      </c>
      <c r="H449" t="n">
        <v>137.64</v>
      </c>
      <c r="I449" t="n">
        <v>1</v>
      </c>
      <c r="J449" t="n">
        <v>1</v>
      </c>
      <c r="K449" t="n">
        <v>1</v>
      </c>
      <c r="M449" t="inlineStr">
        <is>
          <t>matches_completely</t>
        </is>
      </c>
      <c r="N449" t="n">
        <v>5</v>
      </c>
      <c r="O449" t="inlineStr">
        <is>
          <t>yes</t>
        </is>
      </c>
      <c r="Q449" t="inlineStr">
        <is>
          <t>correct</t>
        </is>
      </c>
      <c r="R449" t="inlineStr">
        <is>
          <t>correct</t>
        </is>
      </c>
      <c r="S449" t="inlineStr">
        <is>
          <t>matches_completely</t>
        </is>
      </c>
      <c r="T449" t="inlineStr">
        <is>
          <t>correct</t>
        </is>
      </c>
      <c r="U449">
        <f>IF(T449="correct",1,0)</f>
        <v/>
      </c>
      <c r="V449">
        <f>VLOOKUP(A449,Participants!$A$2:$B$86,2,FALSE)</f>
        <v/>
      </c>
    </row>
    <row r="450">
      <c r="A450" t="inlineStr">
        <is>
          <t>user_0134</t>
        </is>
      </c>
      <c r="B450" t="inlineStr">
        <is>
          <t>E4</t>
        </is>
      </c>
      <c r="C450" t="inlineStr">
        <is>
          <t>C2</t>
        </is>
      </c>
      <c r="D450" t="n">
        <v>4</v>
      </c>
      <c r="E450" t="inlineStr">
        <is>
          <t>2026-03-25T19:36:27.656172+00:00</t>
        </is>
      </c>
      <c r="F450" t="inlineStr">
        <is>
          <t>2026-03-25T19:36:27.688340+00:00</t>
        </is>
      </c>
      <c r="G450" t="n">
        <v>12</v>
      </c>
      <c r="H450" t="n">
        <v>663.66</v>
      </c>
      <c r="I450" t="n">
        <v>3</v>
      </c>
      <c r="J450" t="n">
        <v>1</v>
      </c>
      <c r="K450" t="n">
        <v>1</v>
      </c>
      <c r="M450" t="inlineStr">
        <is>
          <t>matches_completely</t>
        </is>
      </c>
      <c r="N450" t="n">
        <v>5</v>
      </c>
      <c r="O450" t="inlineStr">
        <is>
          <t>yes</t>
        </is>
      </c>
      <c r="Q450" t="inlineStr">
        <is>
          <t>correct</t>
        </is>
      </c>
      <c r="R450" t="inlineStr">
        <is>
          <t>correct</t>
        </is>
      </c>
      <c r="S450" t="inlineStr">
        <is>
          <t>matches_completely</t>
        </is>
      </c>
      <c r="T450" t="inlineStr">
        <is>
          <t>correct</t>
        </is>
      </c>
      <c r="U450">
        <f>IF(T450="correct",1,0)</f>
        <v/>
      </c>
      <c r="V450">
        <f>VLOOKUP(A450,Participants!$A$2:$B$86,2,FALSE)</f>
        <v/>
      </c>
    </row>
    <row r="451">
      <c r="A451" t="inlineStr">
        <is>
          <t>user_0134</t>
        </is>
      </c>
      <c r="B451" t="inlineStr">
        <is>
          <t>E6</t>
        </is>
      </c>
      <c r="C451" t="inlineStr">
        <is>
          <t>C3</t>
        </is>
      </c>
      <c r="D451" t="n">
        <v>5</v>
      </c>
      <c r="E451" t="inlineStr">
        <is>
          <t>2026-03-25T19:40:38.209529+00:00</t>
        </is>
      </c>
      <c r="F451" t="inlineStr">
        <is>
          <t>2026-03-25T19:40:38.232731+00:00</t>
        </is>
      </c>
      <c r="G451" t="n">
        <v>7</v>
      </c>
      <c r="H451" t="n">
        <v>234.92</v>
      </c>
      <c r="I451" t="n">
        <v>2</v>
      </c>
      <c r="J451" t="n">
        <v>1</v>
      </c>
      <c r="K451" t="n">
        <v>1</v>
      </c>
      <c r="M451" t="inlineStr">
        <is>
          <t>matches_completely</t>
        </is>
      </c>
      <c r="N451" t="n">
        <v>5</v>
      </c>
      <c r="O451" t="inlineStr">
        <is>
          <t>yes</t>
        </is>
      </c>
      <c r="Q451" t="inlineStr">
        <is>
          <t>correct</t>
        </is>
      </c>
      <c r="R451" t="inlineStr">
        <is>
          <t>correct</t>
        </is>
      </c>
      <c r="S451" t="inlineStr">
        <is>
          <t>matches_completely</t>
        </is>
      </c>
      <c r="T451" t="inlineStr">
        <is>
          <t>correct</t>
        </is>
      </c>
      <c r="U451">
        <f>IF(T451="correct",1,0)</f>
        <v/>
      </c>
      <c r="V451">
        <f>VLOOKUP(A451,Participants!$A$2:$B$86,2,FALSE)</f>
        <v/>
      </c>
    </row>
    <row r="452">
      <c r="A452" t="inlineStr">
        <is>
          <t>user_0150</t>
        </is>
      </c>
      <c r="B452" t="inlineStr">
        <is>
          <t>E2</t>
        </is>
      </c>
      <c r="C452" t="inlineStr">
        <is>
          <t>C1</t>
        </is>
      </c>
      <c r="D452" t="n">
        <v>0</v>
      </c>
      <c r="E452" t="inlineStr">
        <is>
          <t>2026-03-26T19:23:27.747201+00:00</t>
        </is>
      </c>
      <c r="F452" t="inlineStr">
        <is>
          <t>2026-03-26T19:23:27.767366+00:00</t>
        </is>
      </c>
      <c r="G452" t="n">
        <v>4</v>
      </c>
      <c r="H452" t="n">
        <v>585.3</v>
      </c>
      <c r="I452" t="n">
        <v>1</v>
      </c>
      <c r="J452" t="n">
        <v>1</v>
      </c>
      <c r="K452" t="n">
        <v>1</v>
      </c>
      <c r="M452" t="inlineStr">
        <is>
          <t>matches_completely</t>
        </is>
      </c>
      <c r="N452" t="n">
        <v>4</v>
      </c>
      <c r="O452" t="inlineStr">
        <is>
          <t>yes</t>
        </is>
      </c>
      <c r="Q452" t="inlineStr">
        <is>
          <t>correct</t>
        </is>
      </c>
      <c r="R452" t="inlineStr">
        <is>
          <t>correct</t>
        </is>
      </c>
      <c r="T452" t="inlineStr">
        <is>
          <t>correct</t>
        </is>
      </c>
      <c r="U452">
        <f>IF(T452="correct",1,0)</f>
        <v/>
      </c>
      <c r="V452">
        <f>VLOOKUP(A452,Participants!$A$2:$B$86,2,FALSE)</f>
        <v/>
      </c>
    </row>
    <row r="453">
      <c r="A453" t="inlineStr">
        <is>
          <t>user_0150</t>
        </is>
      </c>
      <c r="B453" t="inlineStr">
        <is>
          <t>E1</t>
        </is>
      </c>
      <c r="C453" t="inlineStr">
        <is>
          <t>C2</t>
        </is>
      </c>
      <c r="D453" t="n">
        <v>1</v>
      </c>
      <c r="E453" t="inlineStr">
        <is>
          <t>2026-03-26T19:28:49.603642+00:00</t>
        </is>
      </c>
      <c r="F453" t="inlineStr">
        <is>
          <t>2026-03-26T19:28:49.624571+00:00</t>
        </is>
      </c>
      <c r="G453" t="n">
        <v>4</v>
      </c>
      <c r="H453" t="n">
        <v>82.52</v>
      </c>
      <c r="I453" t="n">
        <v>1</v>
      </c>
      <c r="J453" t="n">
        <v>1</v>
      </c>
      <c r="K453" t="n">
        <v>1</v>
      </c>
      <c r="M453" t="inlineStr">
        <is>
          <t>matches_completely</t>
        </is>
      </c>
      <c r="N453" t="n">
        <v>5</v>
      </c>
      <c r="O453" t="inlineStr">
        <is>
          <t>yes</t>
        </is>
      </c>
      <c r="Q453" t="inlineStr">
        <is>
          <t>correct</t>
        </is>
      </c>
      <c r="R453" t="inlineStr">
        <is>
          <t>correct</t>
        </is>
      </c>
      <c r="T453" t="inlineStr">
        <is>
          <t>correct</t>
        </is>
      </c>
      <c r="U453">
        <f>IF(T453="correct",1,0)</f>
        <v/>
      </c>
      <c r="V453">
        <f>VLOOKUP(A453,Participants!$A$2:$B$86,2,FALSE)</f>
        <v/>
      </c>
    </row>
    <row r="454">
      <c r="A454" t="inlineStr">
        <is>
          <t>user_0150</t>
        </is>
      </c>
      <c r="B454" t="inlineStr">
        <is>
          <t>E3</t>
        </is>
      </c>
      <c r="C454" t="inlineStr">
        <is>
          <t>C3</t>
        </is>
      </c>
      <c r="D454" t="n">
        <v>2</v>
      </c>
      <c r="E454" t="inlineStr">
        <is>
          <t>2026-03-26T19:39:27.807703+00:00</t>
        </is>
      </c>
      <c r="F454" t="inlineStr">
        <is>
          <t>2026-03-26T19:39:27.826640+00:00</t>
        </is>
      </c>
      <c r="G454" t="n">
        <v>4</v>
      </c>
      <c r="H454" t="n">
        <v>177.05</v>
      </c>
      <c r="I454" t="n">
        <v>1</v>
      </c>
      <c r="J454" t="n">
        <v>1</v>
      </c>
      <c r="K454" t="n">
        <v>1</v>
      </c>
      <c r="M454" t="inlineStr">
        <is>
          <t>matches_completely</t>
        </is>
      </c>
      <c r="N454" t="n">
        <v>4</v>
      </c>
      <c r="O454" t="inlineStr">
        <is>
          <t>yes</t>
        </is>
      </c>
      <c r="Q454" t="inlineStr">
        <is>
          <t>correct</t>
        </is>
      </c>
      <c r="R454" t="inlineStr">
        <is>
          <t>correct</t>
        </is>
      </c>
      <c r="T454" t="inlineStr">
        <is>
          <t>correct</t>
        </is>
      </c>
      <c r="U454">
        <f>IF(T454="correct",1,0)</f>
        <v/>
      </c>
      <c r="V454">
        <f>VLOOKUP(A454,Participants!$A$2:$B$86,2,FALSE)</f>
        <v/>
      </c>
    </row>
    <row r="455">
      <c r="A455" t="inlineStr">
        <is>
          <t>user_0150</t>
        </is>
      </c>
      <c r="B455" t="inlineStr">
        <is>
          <t>E5</t>
        </is>
      </c>
      <c r="C455" t="inlineStr">
        <is>
          <t>C1</t>
        </is>
      </c>
      <c r="D455" t="n">
        <v>3</v>
      </c>
      <c r="E455" t="inlineStr">
        <is>
          <t>2026-03-26T19:49:03.252430+00:00</t>
        </is>
      </c>
      <c r="F455" t="inlineStr">
        <is>
          <t>2026-03-26T19:49:03.270666+00:00</t>
        </is>
      </c>
      <c r="G455" t="n">
        <v>4</v>
      </c>
      <c r="H455" t="n">
        <v>59.8</v>
      </c>
      <c r="I455" t="n">
        <v>1</v>
      </c>
      <c r="J455" t="n">
        <v>1</v>
      </c>
      <c r="K455" t="n">
        <v>1</v>
      </c>
      <c r="M455" t="inlineStr">
        <is>
          <t>matches_completely</t>
        </is>
      </c>
      <c r="N455" t="n">
        <v>5</v>
      </c>
      <c r="O455" t="inlineStr">
        <is>
          <t>yes</t>
        </is>
      </c>
      <c r="Q455" t="inlineStr">
        <is>
          <t>correct</t>
        </is>
      </c>
      <c r="R455" t="inlineStr">
        <is>
          <t>correct</t>
        </is>
      </c>
      <c r="T455" t="inlineStr">
        <is>
          <t>correct</t>
        </is>
      </c>
      <c r="U455">
        <f>IF(T455="correct",1,0)</f>
        <v/>
      </c>
      <c r="V455">
        <f>VLOOKUP(A455,Participants!$A$2:$B$86,2,FALSE)</f>
        <v/>
      </c>
    </row>
    <row r="456">
      <c r="A456" t="inlineStr">
        <is>
          <t>user_0150</t>
        </is>
      </c>
      <c r="B456" t="inlineStr">
        <is>
          <t>E4</t>
        </is>
      </c>
      <c r="C456" t="inlineStr">
        <is>
          <t>C2</t>
        </is>
      </c>
      <c r="D456" t="n">
        <v>4</v>
      </c>
      <c r="E456" t="inlineStr">
        <is>
          <t>2026-03-26T20:00:19.099446+00:00</t>
        </is>
      </c>
      <c r="F456" t="inlineStr">
        <is>
          <t>2026-03-26T20:00:19.120925+00:00</t>
        </is>
      </c>
      <c r="G456" t="n">
        <v>4</v>
      </c>
      <c r="H456" t="n">
        <v>141.55</v>
      </c>
      <c r="I456" t="n">
        <v>1</v>
      </c>
      <c r="J456" t="n">
        <v>1</v>
      </c>
      <c r="K456" t="n">
        <v>1</v>
      </c>
      <c r="M456" t="inlineStr">
        <is>
          <t>matches_completely</t>
        </is>
      </c>
      <c r="N456" t="n">
        <v>5</v>
      </c>
      <c r="O456" t="inlineStr">
        <is>
          <t>yes</t>
        </is>
      </c>
      <c r="Q456" t="inlineStr">
        <is>
          <t>correct</t>
        </is>
      </c>
      <c r="R456" t="inlineStr">
        <is>
          <t>correct</t>
        </is>
      </c>
      <c r="T456" t="inlineStr">
        <is>
          <t>correct</t>
        </is>
      </c>
      <c r="U456">
        <f>IF(T456="correct",1,0)</f>
        <v/>
      </c>
      <c r="V456">
        <f>VLOOKUP(A456,Participants!$A$2:$B$86,2,FALSE)</f>
        <v/>
      </c>
    </row>
    <row r="457">
      <c r="A457" t="inlineStr">
        <is>
          <t>user_0150</t>
        </is>
      </c>
      <c r="B457" t="inlineStr">
        <is>
          <t>E6</t>
        </is>
      </c>
      <c r="C457" t="inlineStr">
        <is>
          <t>C3</t>
        </is>
      </c>
      <c r="D457" t="n">
        <v>5</v>
      </c>
      <c r="E457" t="inlineStr">
        <is>
          <t>2026-03-26T20:07:45.262617+00:00</t>
        </is>
      </c>
      <c r="F457" t="inlineStr">
        <is>
          <t>2026-03-26T20:07:45.279663+00:00</t>
        </is>
      </c>
      <c r="G457" t="n">
        <v>4</v>
      </c>
      <c r="H457" t="n">
        <v>84.41</v>
      </c>
      <c r="I457" t="n">
        <v>1</v>
      </c>
      <c r="J457" t="n">
        <v>1</v>
      </c>
      <c r="K457" t="n">
        <v>1</v>
      </c>
      <c r="M457" t="inlineStr">
        <is>
          <t>matches_completely</t>
        </is>
      </c>
      <c r="N457" t="n">
        <v>5</v>
      </c>
      <c r="O457" t="inlineStr">
        <is>
          <t>yes</t>
        </is>
      </c>
      <c r="Q457" t="inlineStr">
        <is>
          <t>correct</t>
        </is>
      </c>
      <c r="R457" t="inlineStr">
        <is>
          <t>correct</t>
        </is>
      </c>
      <c r="T457" t="inlineStr">
        <is>
          <t>correct</t>
        </is>
      </c>
      <c r="U457">
        <f>IF(T457="correct",1,0)</f>
        <v/>
      </c>
      <c r="V457">
        <f>VLOOKUP(A457,Participants!$A$2:$B$86,2,FALSE)</f>
        <v/>
      </c>
    </row>
    <row r="458">
      <c r="A458" t="inlineStr">
        <is>
          <t>user_0152</t>
        </is>
      </c>
      <c r="B458" t="inlineStr">
        <is>
          <t>E2</t>
        </is>
      </c>
      <c r="C458" t="inlineStr">
        <is>
          <t>C1</t>
        </is>
      </c>
      <c r="D458" t="n">
        <v>0</v>
      </c>
      <c r="E458" t="inlineStr">
        <is>
          <t>2026-03-26T13:03:06.871451+00:00</t>
        </is>
      </c>
      <c r="F458" t="inlineStr">
        <is>
          <t>2026-03-26T13:03:06.891758+00:00</t>
        </is>
      </c>
      <c r="G458" t="n">
        <v>4</v>
      </c>
      <c r="H458" t="n">
        <v>328.5</v>
      </c>
      <c r="I458" t="n">
        <v>1</v>
      </c>
      <c r="J458" t="n">
        <v>1</v>
      </c>
      <c r="K458" t="n">
        <v>1</v>
      </c>
      <c r="M458" t="inlineStr">
        <is>
          <t>matches_completely</t>
        </is>
      </c>
      <c r="N458" t="n">
        <v>5</v>
      </c>
      <c r="O458" t="inlineStr">
        <is>
          <t>yes</t>
        </is>
      </c>
      <c r="Q458" t="inlineStr">
        <is>
          <t>correct</t>
        </is>
      </c>
      <c r="R458" t="inlineStr">
        <is>
          <t>correct</t>
        </is>
      </c>
      <c r="S458" t="inlineStr">
        <is>
          <t>matches_completely</t>
        </is>
      </c>
      <c r="T458" t="inlineStr">
        <is>
          <t>correct</t>
        </is>
      </c>
      <c r="U458">
        <f>IF(T458="correct",1,0)</f>
        <v/>
      </c>
      <c r="V458">
        <f>VLOOKUP(A458,Participants!$A$2:$B$86,2,FALSE)</f>
        <v/>
      </c>
    </row>
    <row r="459">
      <c r="A459" t="inlineStr">
        <is>
          <t>user_0152</t>
        </is>
      </c>
      <c r="B459" t="inlineStr">
        <is>
          <t>E1</t>
        </is>
      </c>
      <c r="C459" t="inlineStr">
        <is>
          <t>C2</t>
        </is>
      </c>
      <c r="D459" t="n">
        <v>1</v>
      </c>
      <c r="E459" t="inlineStr">
        <is>
          <t>2026-03-26T13:21:39.421526+00:00</t>
        </is>
      </c>
      <c r="F459" t="inlineStr">
        <is>
          <t>2026-03-26T13:21:39.444469+00:00</t>
        </is>
      </c>
      <c r="G459" t="n">
        <v>8</v>
      </c>
      <c r="H459" t="n">
        <v>776.9400000000001</v>
      </c>
      <c r="I459" t="n">
        <v>2</v>
      </c>
      <c r="J459" t="n">
        <v>1</v>
      </c>
      <c r="K459" t="n">
        <v>1</v>
      </c>
      <c r="M459" t="inlineStr">
        <is>
          <t>partially</t>
        </is>
      </c>
      <c r="N459" t="n">
        <v>4</v>
      </c>
      <c r="O459" t="inlineStr">
        <is>
          <t>yes</t>
        </is>
      </c>
      <c r="Q459" t="inlineStr">
        <is>
          <t>correct</t>
        </is>
      </c>
      <c r="R459" t="inlineStr">
        <is>
          <t>correct</t>
        </is>
      </c>
      <c r="S459" t="inlineStr">
        <is>
          <t>matches_completely</t>
        </is>
      </c>
      <c r="T459" t="inlineStr">
        <is>
          <t>correct</t>
        </is>
      </c>
      <c r="U459">
        <f>IF(T459="correct",1,0)</f>
        <v/>
      </c>
      <c r="V459">
        <f>VLOOKUP(A459,Participants!$A$2:$B$86,2,FALSE)</f>
        <v/>
      </c>
    </row>
    <row r="460">
      <c r="A460" t="inlineStr">
        <is>
          <t>user_0152</t>
        </is>
      </c>
      <c r="B460" t="inlineStr">
        <is>
          <t>E3</t>
        </is>
      </c>
      <c r="C460" t="inlineStr">
        <is>
          <t>C3</t>
        </is>
      </c>
      <c r="D460" t="n">
        <v>2</v>
      </c>
      <c r="E460" t="inlineStr">
        <is>
          <t>2026-03-26T13:54:13.910846+00:00</t>
        </is>
      </c>
      <c r="F460" t="inlineStr">
        <is>
          <t>2026-03-26T13:54:13.936410+00:00</t>
        </is>
      </c>
      <c r="G460" t="n">
        <v>15</v>
      </c>
      <c r="H460" t="n">
        <v>1284.09</v>
      </c>
      <c r="I460" t="n">
        <v>2</v>
      </c>
      <c r="J460" t="n">
        <v>1</v>
      </c>
      <c r="K460" t="n">
        <v>1</v>
      </c>
      <c r="M460" t="inlineStr">
        <is>
          <t>does_not_match</t>
        </is>
      </c>
      <c r="N460" t="n">
        <v>5</v>
      </c>
      <c r="O460" t="inlineStr">
        <is>
          <t>yes</t>
        </is>
      </c>
      <c r="Q460" t="inlineStr">
        <is>
          <t>incorrect</t>
        </is>
      </c>
      <c r="R460" t="inlineStr">
        <is>
          <t>incorrect</t>
        </is>
      </c>
      <c r="S460" t="inlineStr">
        <is>
          <t>matches_completely</t>
        </is>
      </c>
      <c r="T460" t="inlineStr">
        <is>
          <t>incorrect</t>
        </is>
      </c>
      <c r="U460">
        <f>IF(T460="correct",1,0)</f>
        <v/>
      </c>
      <c r="V460">
        <f>VLOOKUP(A460,Participants!$A$2:$B$86,2,FALSE)</f>
        <v/>
      </c>
    </row>
    <row r="461">
      <c r="A461" t="inlineStr">
        <is>
          <t>user_0152</t>
        </is>
      </c>
      <c r="B461" t="inlineStr">
        <is>
          <t>E5</t>
        </is>
      </c>
      <c r="C461" t="inlineStr">
        <is>
          <t>C1</t>
        </is>
      </c>
      <c r="D461" t="n">
        <v>3</v>
      </c>
      <c r="E461" t="inlineStr">
        <is>
          <t>2026-03-26T14:10:58.248072+00:00</t>
        </is>
      </c>
      <c r="F461" t="inlineStr">
        <is>
          <t>2026-03-26T14:10:58.271284+00:00</t>
        </is>
      </c>
      <c r="G461" t="n">
        <v>4</v>
      </c>
      <c r="H461" t="n">
        <v>175.5</v>
      </c>
      <c r="I461" t="n">
        <v>1</v>
      </c>
      <c r="J461" t="n">
        <v>1</v>
      </c>
      <c r="K461" t="n">
        <v>1</v>
      </c>
      <c r="M461" t="inlineStr">
        <is>
          <t>matches_completely</t>
        </is>
      </c>
      <c r="N461" t="n">
        <v>5</v>
      </c>
      <c r="O461" t="inlineStr">
        <is>
          <t>yes</t>
        </is>
      </c>
      <c r="Q461" t="inlineStr">
        <is>
          <t>correct</t>
        </is>
      </c>
      <c r="R461" t="inlineStr">
        <is>
          <t>correct</t>
        </is>
      </c>
      <c r="S461" t="inlineStr">
        <is>
          <t>matches_completely</t>
        </is>
      </c>
      <c r="T461" t="inlineStr">
        <is>
          <t>correct</t>
        </is>
      </c>
      <c r="U461">
        <f>IF(T461="correct",1,0)</f>
        <v/>
      </c>
      <c r="V461">
        <f>VLOOKUP(A461,Participants!$A$2:$B$86,2,FALSE)</f>
        <v/>
      </c>
    </row>
    <row r="462">
      <c r="A462" t="inlineStr">
        <is>
          <t>user_0152</t>
        </is>
      </c>
      <c r="B462" t="inlineStr">
        <is>
          <t>E4</t>
        </is>
      </c>
      <c r="C462" t="inlineStr">
        <is>
          <t>C2</t>
        </is>
      </c>
      <c r="D462" t="n">
        <v>4</v>
      </c>
      <c r="E462" t="inlineStr">
        <is>
          <t>2026-03-26T14:22:09.494330+00:00</t>
        </is>
      </c>
      <c r="F462" t="inlineStr">
        <is>
          <t>2026-03-26T14:22:09.514174+00:00</t>
        </is>
      </c>
      <c r="G462" t="n">
        <v>4</v>
      </c>
      <c r="H462" t="n">
        <v>44.64</v>
      </c>
      <c r="I462" t="n">
        <v>1</v>
      </c>
      <c r="J462" t="n">
        <v>1</v>
      </c>
      <c r="K462" t="n">
        <v>1</v>
      </c>
      <c r="M462" t="inlineStr">
        <is>
          <t>matches_completely</t>
        </is>
      </c>
      <c r="N462" t="n">
        <v>5</v>
      </c>
      <c r="O462" t="inlineStr">
        <is>
          <t>yes</t>
        </is>
      </c>
      <c r="Q462" t="inlineStr">
        <is>
          <t>correct</t>
        </is>
      </c>
      <c r="R462" t="inlineStr">
        <is>
          <t>correct</t>
        </is>
      </c>
      <c r="S462" t="inlineStr">
        <is>
          <t>partially</t>
        </is>
      </c>
      <c r="T462" t="inlineStr">
        <is>
          <t>correct</t>
        </is>
      </c>
      <c r="U462">
        <f>IF(T462="correct",1,0)</f>
        <v/>
      </c>
      <c r="V462">
        <f>VLOOKUP(A462,Participants!$A$2:$B$86,2,FALSE)</f>
        <v/>
      </c>
    </row>
    <row r="463">
      <c r="A463" t="inlineStr">
        <is>
          <t>user_0152</t>
        </is>
      </c>
      <c r="B463" t="inlineStr">
        <is>
          <t>E6</t>
        </is>
      </c>
      <c r="C463" t="inlineStr">
        <is>
          <t>C3</t>
        </is>
      </c>
      <c r="D463" t="n">
        <v>5</v>
      </c>
      <c r="E463" t="inlineStr">
        <is>
          <t>2026-03-26T14:26:02.263098+00:00</t>
        </is>
      </c>
      <c r="F463" t="inlineStr">
        <is>
          <t>2026-03-26T14:26:02.287547+00:00</t>
        </is>
      </c>
      <c r="G463" t="n">
        <v>4</v>
      </c>
      <c r="H463" t="n">
        <v>46.12</v>
      </c>
      <c r="I463" t="n">
        <v>1</v>
      </c>
      <c r="J463" t="n">
        <v>1</v>
      </c>
      <c r="K463" t="n">
        <v>1</v>
      </c>
      <c r="M463" t="inlineStr">
        <is>
          <t>matches_completely</t>
        </is>
      </c>
      <c r="N463" t="n">
        <v>5</v>
      </c>
      <c r="O463" t="inlineStr">
        <is>
          <t>yes</t>
        </is>
      </c>
      <c r="Q463" t="inlineStr">
        <is>
          <t>correct</t>
        </is>
      </c>
      <c r="R463" t="inlineStr">
        <is>
          <t>correct</t>
        </is>
      </c>
      <c r="S463" t="inlineStr">
        <is>
          <t>matches_completely</t>
        </is>
      </c>
      <c r="T463" t="inlineStr">
        <is>
          <t>correct</t>
        </is>
      </c>
      <c r="U463">
        <f>IF(T463="correct",1,0)</f>
        <v/>
      </c>
      <c r="V463">
        <f>VLOOKUP(A463,Participants!$A$2:$B$86,2,FALSE)</f>
        <v/>
      </c>
    </row>
    <row r="464">
      <c r="A464" t="inlineStr">
        <is>
          <t>user_0153</t>
        </is>
      </c>
      <c r="B464" t="inlineStr">
        <is>
          <t>E2</t>
        </is>
      </c>
      <c r="C464" t="inlineStr">
        <is>
          <t>C1</t>
        </is>
      </c>
      <c r="D464" t="n">
        <v>0</v>
      </c>
      <c r="E464" t="inlineStr">
        <is>
          <t>2026-03-26T13:00:49.342248+00:00</t>
        </is>
      </c>
      <c r="F464" t="inlineStr">
        <is>
          <t>2026-03-26T13:00:49.363388+00:00</t>
        </is>
      </c>
      <c r="G464" t="n">
        <v>4</v>
      </c>
      <c r="H464" t="n">
        <v>185.14</v>
      </c>
      <c r="I464" t="n">
        <v>1</v>
      </c>
      <c r="J464" t="n">
        <v>1</v>
      </c>
      <c r="K464" t="n">
        <v>1</v>
      </c>
      <c r="M464" t="inlineStr">
        <is>
          <t>matches_completely</t>
        </is>
      </c>
      <c r="N464" t="n">
        <v>4</v>
      </c>
      <c r="O464" t="inlineStr">
        <is>
          <t>yes</t>
        </is>
      </c>
      <c r="Q464" t="inlineStr">
        <is>
          <t>correct</t>
        </is>
      </c>
      <c r="R464" t="inlineStr">
        <is>
          <t>correct</t>
        </is>
      </c>
      <c r="S464" t="inlineStr">
        <is>
          <t>matches_completely</t>
        </is>
      </c>
      <c r="T464" t="inlineStr">
        <is>
          <t>correct</t>
        </is>
      </c>
      <c r="U464">
        <f>IF(T464="correct",1,0)</f>
        <v/>
      </c>
      <c r="V464">
        <f>VLOOKUP(A464,Participants!$A$2:$B$86,2,FALSE)</f>
        <v/>
      </c>
    </row>
    <row r="465">
      <c r="A465" t="inlineStr">
        <is>
          <t>user_0153</t>
        </is>
      </c>
      <c r="B465" t="inlineStr">
        <is>
          <t>E1</t>
        </is>
      </c>
      <c r="C465" t="inlineStr">
        <is>
          <t>C2</t>
        </is>
      </c>
      <c r="D465" t="n">
        <v>1</v>
      </c>
      <c r="E465" t="inlineStr">
        <is>
          <t>2026-03-26T13:10:02.409505+00:00</t>
        </is>
      </c>
      <c r="F465" t="inlineStr">
        <is>
          <t>2026-03-26T13:10:02.438273+00:00</t>
        </is>
      </c>
      <c r="G465" t="n">
        <v>10</v>
      </c>
      <c r="H465" t="n">
        <v>172.53</v>
      </c>
      <c r="I465" t="n">
        <v>3</v>
      </c>
      <c r="J465" t="n">
        <v>1</v>
      </c>
      <c r="K465" t="n">
        <v>1</v>
      </c>
      <c r="M465" t="inlineStr">
        <is>
          <t>partially</t>
        </is>
      </c>
      <c r="N465" t="n">
        <v>3</v>
      </c>
      <c r="O465" t="inlineStr">
        <is>
          <t>yes</t>
        </is>
      </c>
      <c r="Q465" t="inlineStr">
        <is>
          <t>correct</t>
        </is>
      </c>
      <c r="R465" t="inlineStr">
        <is>
          <t>correct</t>
        </is>
      </c>
      <c r="S465" t="inlineStr">
        <is>
          <t>matches_completely</t>
        </is>
      </c>
      <c r="T465" t="inlineStr">
        <is>
          <t>correct</t>
        </is>
      </c>
      <c r="U465">
        <f>IF(T465="correct",1,0)</f>
        <v/>
      </c>
      <c r="V465">
        <f>VLOOKUP(A465,Participants!$A$2:$B$86,2,FALSE)</f>
        <v/>
      </c>
    </row>
    <row r="466">
      <c r="A466" t="inlineStr">
        <is>
          <t>user_0153</t>
        </is>
      </c>
      <c r="B466" t="inlineStr">
        <is>
          <t>E3</t>
        </is>
      </c>
      <c r="C466" t="inlineStr">
        <is>
          <t>C3</t>
        </is>
      </c>
      <c r="D466" t="n">
        <v>2</v>
      </c>
      <c r="E466" t="inlineStr">
        <is>
          <t>2026-03-26T13:21:08.208031+00:00</t>
        </is>
      </c>
      <c r="F466" t="inlineStr">
        <is>
          <t>2026-03-26T13:21:08.234136+00:00</t>
        </is>
      </c>
      <c r="G466" t="n">
        <v>7</v>
      </c>
      <c r="H466" t="n">
        <v>189.48</v>
      </c>
      <c r="I466" t="n">
        <v>2</v>
      </c>
      <c r="J466" t="n">
        <v>1</v>
      </c>
      <c r="K466" t="n">
        <v>1</v>
      </c>
      <c r="M466" t="inlineStr">
        <is>
          <t>partially</t>
        </is>
      </c>
      <c r="N466" t="n">
        <v>3</v>
      </c>
      <c r="O466" t="inlineStr">
        <is>
          <t>yes</t>
        </is>
      </c>
      <c r="Q466" t="inlineStr">
        <is>
          <t>correct</t>
        </is>
      </c>
      <c r="R466" t="inlineStr">
        <is>
          <t>correct</t>
        </is>
      </c>
      <c r="S466" t="inlineStr">
        <is>
          <t>matches_completely</t>
        </is>
      </c>
      <c r="T466" t="inlineStr">
        <is>
          <t>correct</t>
        </is>
      </c>
      <c r="U466">
        <f>IF(T466="correct",1,0)</f>
        <v/>
      </c>
      <c r="V466">
        <f>VLOOKUP(A466,Participants!$A$2:$B$86,2,FALSE)</f>
        <v/>
      </c>
    </row>
    <row r="467">
      <c r="A467" t="inlineStr">
        <is>
          <t>user_0153</t>
        </is>
      </c>
      <c r="B467" t="inlineStr">
        <is>
          <t>E5</t>
        </is>
      </c>
      <c r="C467" t="inlineStr">
        <is>
          <t>C1</t>
        </is>
      </c>
      <c r="D467" t="n">
        <v>3</v>
      </c>
      <c r="E467" t="inlineStr">
        <is>
          <t>2026-03-26T13:27:47.015174+00:00</t>
        </is>
      </c>
      <c r="F467" t="inlineStr">
        <is>
          <t>2026-03-26T13:27:47.037959+00:00</t>
        </is>
      </c>
      <c r="G467" t="n">
        <v>8</v>
      </c>
      <c r="H467" t="n">
        <v>135.28</v>
      </c>
      <c r="I467" t="n">
        <v>2</v>
      </c>
      <c r="J467" t="n">
        <v>1</v>
      </c>
      <c r="K467" t="n">
        <v>1</v>
      </c>
      <c r="M467" t="inlineStr">
        <is>
          <t>matches_completely</t>
        </is>
      </c>
      <c r="N467" t="n">
        <v>4</v>
      </c>
      <c r="O467" t="inlineStr">
        <is>
          <t>yes</t>
        </is>
      </c>
      <c r="Q467" t="inlineStr">
        <is>
          <t>correct</t>
        </is>
      </c>
      <c r="R467" t="inlineStr">
        <is>
          <t>correct</t>
        </is>
      </c>
      <c r="S467" t="inlineStr">
        <is>
          <t>matches_completely</t>
        </is>
      </c>
      <c r="T467" t="inlineStr">
        <is>
          <t>correct</t>
        </is>
      </c>
      <c r="U467">
        <f>IF(T467="correct",1,0)</f>
        <v/>
      </c>
      <c r="V467">
        <f>VLOOKUP(A467,Participants!$A$2:$B$86,2,FALSE)</f>
        <v/>
      </c>
    </row>
    <row r="468">
      <c r="A468" t="inlineStr">
        <is>
          <t>user_0153</t>
        </is>
      </c>
      <c r="B468" t="inlineStr">
        <is>
          <t>E4</t>
        </is>
      </c>
      <c r="C468" t="inlineStr">
        <is>
          <t>C2</t>
        </is>
      </c>
      <c r="D468" t="n">
        <v>4</v>
      </c>
      <c r="E468" t="inlineStr">
        <is>
          <t>2026-03-26T13:34:21.111531+00:00</t>
        </is>
      </c>
      <c r="F468" t="inlineStr">
        <is>
          <t>2026-03-26T13:34:21.134415+00:00</t>
        </is>
      </c>
      <c r="G468" t="n">
        <v>7</v>
      </c>
      <c r="H468" t="n">
        <v>126.19</v>
      </c>
      <c r="I468" t="n">
        <v>2</v>
      </c>
      <c r="J468" t="n">
        <v>1</v>
      </c>
      <c r="K468" t="n">
        <v>1</v>
      </c>
      <c r="M468" t="inlineStr">
        <is>
          <t>partially</t>
        </is>
      </c>
      <c r="N468" t="n">
        <v>2</v>
      </c>
      <c r="O468" t="inlineStr">
        <is>
          <t>yes</t>
        </is>
      </c>
      <c r="Q468" t="inlineStr">
        <is>
          <t>correct</t>
        </is>
      </c>
      <c r="R468" t="inlineStr">
        <is>
          <t>correct</t>
        </is>
      </c>
      <c r="S468" t="inlineStr">
        <is>
          <t>matches_completely</t>
        </is>
      </c>
      <c r="T468" t="inlineStr">
        <is>
          <t>correct</t>
        </is>
      </c>
      <c r="U468">
        <f>IF(T468="correct",1,0)</f>
        <v/>
      </c>
      <c r="V468">
        <f>VLOOKUP(A468,Participants!$A$2:$B$86,2,FALSE)</f>
        <v/>
      </c>
    </row>
    <row r="469">
      <c r="A469" t="inlineStr">
        <is>
          <t>user_0153</t>
        </is>
      </c>
      <c r="B469" t="inlineStr">
        <is>
          <t>E6</t>
        </is>
      </c>
      <c r="C469" t="inlineStr">
        <is>
          <t>C3</t>
        </is>
      </c>
      <c r="D469" t="n">
        <v>5</v>
      </c>
      <c r="E469" t="inlineStr">
        <is>
          <t>2026-03-26T13:38:36.812288+00:00</t>
        </is>
      </c>
      <c r="F469" t="inlineStr">
        <is>
          <t>2026-03-26T13:38:36.833380+00:00</t>
        </is>
      </c>
      <c r="G469" t="n">
        <v>4</v>
      </c>
      <c r="H469" t="n">
        <v>60.11</v>
      </c>
      <c r="I469" t="n">
        <v>1</v>
      </c>
      <c r="J469" t="n">
        <v>1</v>
      </c>
      <c r="K469" t="n">
        <v>1</v>
      </c>
      <c r="M469" t="inlineStr">
        <is>
          <t>matches_completely</t>
        </is>
      </c>
      <c r="N469" t="n">
        <v>3</v>
      </c>
      <c r="O469" t="inlineStr">
        <is>
          <t>yes</t>
        </is>
      </c>
      <c r="Q469" t="inlineStr">
        <is>
          <t>correct</t>
        </is>
      </c>
      <c r="R469" t="inlineStr">
        <is>
          <t>correct</t>
        </is>
      </c>
      <c r="S469" t="inlineStr">
        <is>
          <t>matches_completely</t>
        </is>
      </c>
      <c r="T469" t="inlineStr">
        <is>
          <t>correct</t>
        </is>
      </c>
      <c r="U469">
        <f>IF(T469="correct",1,0)</f>
        <v/>
      </c>
      <c r="V469">
        <f>VLOOKUP(A469,Participants!$A$2:$B$86,2,FALSE)</f>
        <v/>
      </c>
    </row>
    <row r="470">
      <c r="A470" t="inlineStr">
        <is>
          <t>user_0158</t>
        </is>
      </c>
      <c r="B470" t="inlineStr">
        <is>
          <t>E2</t>
        </is>
      </c>
      <c r="C470" t="inlineStr">
        <is>
          <t>C1</t>
        </is>
      </c>
      <c r="D470" t="n">
        <v>0</v>
      </c>
      <c r="E470" t="inlineStr">
        <is>
          <t>2026-03-26T10:39:59.162664+00:00</t>
        </is>
      </c>
      <c r="F470" t="inlineStr">
        <is>
          <t>2026-03-26T10:39:59.182264+00:00</t>
        </is>
      </c>
      <c r="G470" t="n">
        <v>4</v>
      </c>
      <c r="H470" t="n">
        <v>175.75</v>
      </c>
      <c r="I470" t="n">
        <v>1</v>
      </c>
      <c r="J470" t="n">
        <v>1</v>
      </c>
      <c r="K470" t="n">
        <v>1</v>
      </c>
      <c r="M470" t="inlineStr">
        <is>
          <t>matches_completely</t>
        </is>
      </c>
      <c r="N470" t="n">
        <v>3</v>
      </c>
      <c r="O470" t="inlineStr">
        <is>
          <t>yes</t>
        </is>
      </c>
      <c r="Q470" t="inlineStr">
        <is>
          <t>correct</t>
        </is>
      </c>
      <c r="R470" t="inlineStr">
        <is>
          <t>correct</t>
        </is>
      </c>
      <c r="S470" t="inlineStr">
        <is>
          <t>matches_completely</t>
        </is>
      </c>
      <c r="T470" t="inlineStr">
        <is>
          <t>correct</t>
        </is>
      </c>
      <c r="U470">
        <f>IF(T470="correct",1,0)</f>
        <v/>
      </c>
      <c r="V470">
        <f>VLOOKUP(A470,Participants!$A$2:$B$86,2,FALSE)</f>
        <v/>
      </c>
    </row>
    <row r="471">
      <c r="A471" t="inlineStr">
        <is>
          <t>user_0158</t>
        </is>
      </c>
      <c r="B471" t="inlineStr">
        <is>
          <t>E1</t>
        </is>
      </c>
      <c r="C471" t="inlineStr">
        <is>
          <t>C2</t>
        </is>
      </c>
      <c r="D471" t="n">
        <v>1</v>
      </c>
      <c r="E471" t="inlineStr">
        <is>
          <t>2026-03-26T10:47:22.185585+00:00</t>
        </is>
      </c>
      <c r="F471" t="inlineStr">
        <is>
          <t>2026-03-26T10:47:22.205349+00:00</t>
        </is>
      </c>
      <c r="G471" t="n">
        <v>5</v>
      </c>
      <c r="H471" t="n">
        <v>139.03</v>
      </c>
      <c r="I471" t="n">
        <v>1</v>
      </c>
      <c r="J471" t="n">
        <v>1</v>
      </c>
      <c r="K471" t="n">
        <v>1</v>
      </c>
      <c r="M471" t="inlineStr">
        <is>
          <t>matches_completely</t>
        </is>
      </c>
      <c r="N471" t="n">
        <v>3</v>
      </c>
      <c r="O471" t="inlineStr">
        <is>
          <t>yes</t>
        </is>
      </c>
      <c r="Q471" t="inlineStr">
        <is>
          <t>correct</t>
        </is>
      </c>
      <c r="R471" t="inlineStr">
        <is>
          <t>correct</t>
        </is>
      </c>
      <c r="S471" t="inlineStr">
        <is>
          <t>matches_completely</t>
        </is>
      </c>
      <c r="T471" t="inlineStr">
        <is>
          <t>correct</t>
        </is>
      </c>
      <c r="U471">
        <f>IF(T471="correct",1,0)</f>
        <v/>
      </c>
      <c r="V471">
        <f>VLOOKUP(A471,Participants!$A$2:$B$86,2,FALSE)</f>
        <v/>
      </c>
    </row>
    <row r="472">
      <c r="A472" t="inlineStr">
        <is>
          <t>user_0158</t>
        </is>
      </c>
      <c r="B472" t="inlineStr">
        <is>
          <t>E3</t>
        </is>
      </c>
      <c r="C472" t="inlineStr">
        <is>
          <t>C3</t>
        </is>
      </c>
      <c r="D472" t="n">
        <v>2</v>
      </c>
      <c r="E472" t="inlineStr">
        <is>
          <t>2026-03-26T11:02:14.667755+00:00</t>
        </is>
      </c>
      <c r="F472" t="inlineStr">
        <is>
          <t>2026-03-26T11:02:14.691295+00:00</t>
        </is>
      </c>
      <c r="G472" t="n">
        <v>7</v>
      </c>
      <c r="H472" t="n">
        <v>297.52</v>
      </c>
      <c r="I472" t="n">
        <v>2</v>
      </c>
      <c r="J472" t="n">
        <v>1</v>
      </c>
      <c r="K472" t="n">
        <v>1</v>
      </c>
      <c r="M472" t="inlineStr">
        <is>
          <t>partially</t>
        </is>
      </c>
      <c r="N472" t="n">
        <v>2</v>
      </c>
      <c r="O472" t="inlineStr">
        <is>
          <t>no</t>
        </is>
      </c>
      <c r="Q472" t="inlineStr">
        <is>
          <t>correct</t>
        </is>
      </c>
      <c r="R472" t="inlineStr">
        <is>
          <t>correct</t>
        </is>
      </c>
      <c r="S472" t="inlineStr">
        <is>
          <t>matches_completely</t>
        </is>
      </c>
      <c r="T472" t="inlineStr">
        <is>
          <t>correct</t>
        </is>
      </c>
      <c r="U472">
        <f>IF(T472="correct",1,0)</f>
        <v/>
      </c>
      <c r="V472">
        <f>VLOOKUP(A472,Participants!$A$2:$B$86,2,FALSE)</f>
        <v/>
      </c>
    </row>
    <row r="473">
      <c r="A473" t="inlineStr">
        <is>
          <t>user_0158</t>
        </is>
      </c>
      <c r="B473" t="inlineStr">
        <is>
          <t>E5</t>
        </is>
      </c>
      <c r="C473" t="inlineStr">
        <is>
          <t>C1</t>
        </is>
      </c>
      <c r="D473" t="n">
        <v>3</v>
      </c>
      <c r="E473" t="inlineStr">
        <is>
          <t>2026-03-26T11:08:28.586226+00:00</t>
        </is>
      </c>
      <c r="F473" t="inlineStr">
        <is>
          <t>2026-03-26T11:08:28.604560+00:00</t>
        </is>
      </c>
      <c r="G473" t="n">
        <v>4</v>
      </c>
      <c r="H473" t="n">
        <v>25.83</v>
      </c>
      <c r="I473" t="n">
        <v>1</v>
      </c>
      <c r="J473" t="n">
        <v>1</v>
      </c>
      <c r="K473" t="n">
        <v>1</v>
      </c>
      <c r="M473" t="inlineStr">
        <is>
          <t>matches_completely</t>
        </is>
      </c>
      <c r="N473" t="n">
        <v>3</v>
      </c>
      <c r="O473" t="inlineStr">
        <is>
          <t>yes</t>
        </is>
      </c>
      <c r="Q473" t="inlineStr">
        <is>
          <t>correct</t>
        </is>
      </c>
      <c r="R473" t="inlineStr">
        <is>
          <t>correct</t>
        </is>
      </c>
      <c r="S473" t="inlineStr">
        <is>
          <t>matches_completely</t>
        </is>
      </c>
      <c r="T473" t="inlineStr">
        <is>
          <t>correct</t>
        </is>
      </c>
      <c r="U473">
        <f>IF(T473="correct",1,0)</f>
        <v/>
      </c>
      <c r="V473">
        <f>VLOOKUP(A473,Participants!$A$2:$B$86,2,FALSE)</f>
        <v/>
      </c>
    </row>
    <row r="474">
      <c r="A474" t="inlineStr">
        <is>
          <t>user_0158</t>
        </is>
      </c>
      <c r="B474" t="inlineStr">
        <is>
          <t>E4</t>
        </is>
      </c>
      <c r="C474" t="inlineStr">
        <is>
          <t>C2</t>
        </is>
      </c>
      <c r="D474" t="n">
        <v>4</v>
      </c>
      <c r="E474" t="inlineStr">
        <is>
          <t>2026-03-26T11:11:59.715432+00:00</t>
        </is>
      </c>
      <c r="F474" t="inlineStr">
        <is>
          <t>2026-03-26T11:11:59.735345+00:00</t>
        </is>
      </c>
      <c r="G474" t="n">
        <v>4</v>
      </c>
      <c r="H474" t="n">
        <v>26.47</v>
      </c>
      <c r="I474" t="n">
        <v>1</v>
      </c>
      <c r="J474" t="n">
        <v>1</v>
      </c>
      <c r="K474" t="n">
        <v>1</v>
      </c>
      <c r="M474" t="inlineStr">
        <is>
          <t>matches_completely</t>
        </is>
      </c>
      <c r="N474" t="n">
        <v>5</v>
      </c>
      <c r="O474" t="inlineStr">
        <is>
          <t>yes</t>
        </is>
      </c>
      <c r="Q474" t="inlineStr">
        <is>
          <t>correct</t>
        </is>
      </c>
      <c r="R474" t="inlineStr">
        <is>
          <t>correct</t>
        </is>
      </c>
      <c r="S474" t="inlineStr">
        <is>
          <t>matches_completely</t>
        </is>
      </c>
      <c r="T474" t="inlineStr">
        <is>
          <t>correct</t>
        </is>
      </c>
      <c r="U474">
        <f>IF(T474="correct",1,0)</f>
        <v/>
      </c>
      <c r="V474">
        <f>VLOOKUP(A474,Participants!$A$2:$B$86,2,FALSE)</f>
        <v/>
      </c>
    </row>
    <row r="475">
      <c r="A475" t="inlineStr">
        <is>
          <t>user_0158</t>
        </is>
      </c>
      <c r="B475" t="inlineStr">
        <is>
          <t>E6</t>
        </is>
      </c>
      <c r="C475" t="inlineStr">
        <is>
          <t>C3</t>
        </is>
      </c>
      <c r="D475" t="n">
        <v>5</v>
      </c>
      <c r="E475" t="inlineStr">
        <is>
          <t>2026-03-26T11:14:32.456301+00:00</t>
        </is>
      </c>
      <c r="F475" t="inlineStr">
        <is>
          <t>2026-03-26T11:14:32.477729+00:00</t>
        </is>
      </c>
      <c r="G475" t="n">
        <v>4</v>
      </c>
      <c r="H475" t="n">
        <v>28.59</v>
      </c>
      <c r="I475" t="n">
        <v>1</v>
      </c>
      <c r="J475" t="n">
        <v>1</v>
      </c>
      <c r="K475" t="n">
        <v>1</v>
      </c>
      <c r="M475" t="inlineStr">
        <is>
          <t>matches_completely</t>
        </is>
      </c>
      <c r="N475" t="n">
        <v>4</v>
      </c>
      <c r="O475" t="inlineStr">
        <is>
          <t>yes</t>
        </is>
      </c>
      <c r="Q475" t="inlineStr">
        <is>
          <t>correct</t>
        </is>
      </c>
      <c r="R475" t="inlineStr">
        <is>
          <t>correct</t>
        </is>
      </c>
      <c r="S475" t="inlineStr">
        <is>
          <t>matches_completely</t>
        </is>
      </c>
      <c r="T475" t="inlineStr">
        <is>
          <t>correct</t>
        </is>
      </c>
      <c r="U475">
        <f>IF(T475="correct",1,0)</f>
        <v/>
      </c>
      <c r="V475">
        <f>VLOOKUP(A475,Participants!$A$2:$B$86,2,FALSE)</f>
        <v/>
      </c>
    </row>
    <row r="476">
      <c r="A476" t="inlineStr">
        <is>
          <t>user_0170</t>
        </is>
      </c>
      <c r="B476" t="inlineStr">
        <is>
          <t>E2</t>
        </is>
      </c>
      <c r="C476" t="inlineStr">
        <is>
          <t>C1</t>
        </is>
      </c>
      <c r="D476" t="n">
        <v>0</v>
      </c>
      <c r="E476" t="inlineStr">
        <is>
          <t>2026-03-26T10:46:03.819204+00:00</t>
        </is>
      </c>
      <c r="F476" t="inlineStr">
        <is>
          <t>2026-03-26T10:46:03.839192+00:00</t>
        </is>
      </c>
      <c r="G476" t="n">
        <v>4</v>
      </c>
      <c r="H476" t="n">
        <v>910.23</v>
      </c>
      <c r="I476" t="n">
        <v>1</v>
      </c>
      <c r="J476" t="n">
        <v>1</v>
      </c>
      <c r="K476" t="n">
        <v>1</v>
      </c>
      <c r="M476" t="inlineStr">
        <is>
          <t>matches_completely</t>
        </is>
      </c>
      <c r="N476" t="n">
        <v>4</v>
      </c>
      <c r="O476" t="inlineStr">
        <is>
          <t>yes</t>
        </is>
      </c>
      <c r="Q476" t="inlineStr">
        <is>
          <t>correct</t>
        </is>
      </c>
      <c r="R476" t="inlineStr">
        <is>
          <t>correct</t>
        </is>
      </c>
      <c r="S476" t="inlineStr">
        <is>
          <t>matches_completely</t>
        </is>
      </c>
      <c r="T476" t="inlineStr">
        <is>
          <t>correct</t>
        </is>
      </c>
      <c r="U476">
        <f>IF(T476="correct",1,0)</f>
        <v/>
      </c>
      <c r="V476">
        <f>VLOOKUP(A476,Participants!$A$2:$B$86,2,FALSE)</f>
        <v/>
      </c>
    </row>
    <row r="477">
      <c r="A477" t="inlineStr">
        <is>
          <t>user_0170</t>
        </is>
      </c>
      <c r="B477" t="inlineStr">
        <is>
          <t>E1</t>
        </is>
      </c>
      <c r="C477" t="inlineStr">
        <is>
          <t>C2</t>
        </is>
      </c>
      <c r="D477" t="n">
        <v>1</v>
      </c>
      <c r="E477" t="inlineStr">
        <is>
          <t>2026-03-26T10:52:42.080478+00:00</t>
        </is>
      </c>
      <c r="F477" t="inlineStr">
        <is>
          <t>2026-03-26T10:52:42.099600+00:00</t>
        </is>
      </c>
      <c r="G477" t="n">
        <v>4</v>
      </c>
      <c r="H477" t="n">
        <v>263.89</v>
      </c>
      <c r="I477" t="n">
        <v>1</v>
      </c>
      <c r="J477" t="n">
        <v>1</v>
      </c>
      <c r="K477" t="n">
        <v>1</v>
      </c>
      <c r="M477" t="inlineStr">
        <is>
          <t>matches_completely</t>
        </is>
      </c>
      <c r="N477" t="n">
        <v>4</v>
      </c>
      <c r="O477" t="inlineStr">
        <is>
          <t>no</t>
        </is>
      </c>
      <c r="Q477" t="inlineStr">
        <is>
          <t>correct</t>
        </is>
      </c>
      <c r="R477" t="inlineStr">
        <is>
          <t>correct</t>
        </is>
      </c>
      <c r="S477" t="inlineStr">
        <is>
          <t>matches_completely</t>
        </is>
      </c>
      <c r="T477" t="inlineStr">
        <is>
          <t>correct</t>
        </is>
      </c>
      <c r="U477">
        <f>IF(T477="correct",1,0)</f>
        <v/>
      </c>
      <c r="V477">
        <f>VLOOKUP(A477,Participants!$A$2:$B$86,2,FALSE)</f>
        <v/>
      </c>
    </row>
    <row r="478">
      <c r="A478" t="inlineStr">
        <is>
          <t>user_0170</t>
        </is>
      </c>
      <c r="B478" t="inlineStr">
        <is>
          <t>E3</t>
        </is>
      </c>
      <c r="C478" t="inlineStr">
        <is>
          <t>C3</t>
        </is>
      </c>
      <c r="D478" t="n">
        <v>2</v>
      </c>
      <c r="E478" t="inlineStr">
        <is>
          <t>2026-03-26T11:06:02.954948+00:00</t>
        </is>
      </c>
      <c r="F478" t="inlineStr">
        <is>
          <t>2026-03-26T11:06:02.975920+00:00</t>
        </is>
      </c>
      <c r="G478" t="n">
        <v>4</v>
      </c>
      <c r="H478" t="n">
        <v>313.34</v>
      </c>
      <c r="I478" t="n">
        <v>1</v>
      </c>
      <c r="J478" t="n">
        <v>1</v>
      </c>
      <c r="K478" t="n">
        <v>1</v>
      </c>
      <c r="M478" t="inlineStr">
        <is>
          <t>matches_completely</t>
        </is>
      </c>
      <c r="N478" t="n">
        <v>3</v>
      </c>
      <c r="O478" t="inlineStr">
        <is>
          <t>yes</t>
        </is>
      </c>
      <c r="Q478" t="inlineStr">
        <is>
          <t>correct</t>
        </is>
      </c>
      <c r="R478" t="inlineStr">
        <is>
          <t>correct</t>
        </is>
      </c>
      <c r="S478" t="inlineStr">
        <is>
          <t>matches_completely</t>
        </is>
      </c>
      <c r="T478" t="inlineStr">
        <is>
          <t>correct</t>
        </is>
      </c>
      <c r="U478">
        <f>IF(T478="correct",1,0)</f>
        <v/>
      </c>
      <c r="V478">
        <f>VLOOKUP(A478,Participants!$A$2:$B$86,2,FALSE)</f>
        <v/>
      </c>
    </row>
    <row r="479">
      <c r="A479" t="inlineStr">
        <is>
          <t>user_0170</t>
        </is>
      </c>
      <c r="B479" t="inlineStr">
        <is>
          <t>E5</t>
        </is>
      </c>
      <c r="C479" t="inlineStr">
        <is>
          <t>C1</t>
        </is>
      </c>
      <c r="D479" t="n">
        <v>3</v>
      </c>
      <c r="E479" t="inlineStr">
        <is>
          <t>2026-03-26T11:14:09.266827+00:00</t>
        </is>
      </c>
      <c r="F479" t="inlineStr">
        <is>
          <t>2026-03-26T11:14:09.288570+00:00</t>
        </is>
      </c>
      <c r="G479" t="n">
        <v>7</v>
      </c>
      <c r="H479" t="n">
        <v>209.61</v>
      </c>
      <c r="I479" t="n">
        <v>2</v>
      </c>
      <c r="J479" t="n">
        <v>1</v>
      </c>
      <c r="K479" t="n">
        <v>1</v>
      </c>
      <c r="M479" t="inlineStr">
        <is>
          <t>matches_completely</t>
        </is>
      </c>
      <c r="N479" t="n">
        <v>4</v>
      </c>
      <c r="O479" t="inlineStr">
        <is>
          <t>yes</t>
        </is>
      </c>
      <c r="Q479" t="inlineStr">
        <is>
          <t>correct</t>
        </is>
      </c>
      <c r="R479" t="inlineStr">
        <is>
          <t>correct</t>
        </is>
      </c>
      <c r="S479" t="inlineStr">
        <is>
          <t>matches_completely</t>
        </is>
      </c>
      <c r="T479" t="inlineStr">
        <is>
          <t>correct</t>
        </is>
      </c>
      <c r="U479">
        <f>IF(T479="correct",1,0)</f>
        <v/>
      </c>
      <c r="V479">
        <f>VLOOKUP(A479,Participants!$A$2:$B$86,2,FALSE)</f>
        <v/>
      </c>
    </row>
    <row r="480">
      <c r="A480" t="inlineStr">
        <is>
          <t>user_0170</t>
        </is>
      </c>
      <c r="B480" t="inlineStr">
        <is>
          <t>E4</t>
        </is>
      </c>
      <c r="C480" t="inlineStr">
        <is>
          <t>C2</t>
        </is>
      </c>
      <c r="D480" t="n">
        <v>4</v>
      </c>
      <c r="E480" t="inlineStr">
        <is>
          <t>2026-03-26T11:34:52.842170+00:00</t>
        </is>
      </c>
      <c r="F480" t="inlineStr">
        <is>
          <t>2026-03-26T11:34:52.860244+00:00</t>
        </is>
      </c>
      <c r="G480" t="n">
        <v>4</v>
      </c>
      <c r="H480" t="n">
        <v>266.11</v>
      </c>
      <c r="I480" t="n">
        <v>1</v>
      </c>
      <c r="J480" t="n">
        <v>1</v>
      </c>
      <c r="K480" t="n">
        <v>1</v>
      </c>
      <c r="M480" t="inlineStr">
        <is>
          <t>matches_completely</t>
        </is>
      </c>
      <c r="N480" t="n">
        <v>4</v>
      </c>
      <c r="O480" t="inlineStr">
        <is>
          <t>yes</t>
        </is>
      </c>
      <c r="Q480" t="inlineStr">
        <is>
          <t>correct</t>
        </is>
      </c>
      <c r="R480" t="inlineStr">
        <is>
          <t>correct</t>
        </is>
      </c>
      <c r="S480" t="inlineStr">
        <is>
          <t>partially</t>
        </is>
      </c>
      <c r="T480" t="inlineStr">
        <is>
          <t>correct</t>
        </is>
      </c>
      <c r="U480">
        <f>IF(T480="correct",1,0)</f>
        <v/>
      </c>
      <c r="V480">
        <f>VLOOKUP(A480,Participants!$A$2:$B$86,2,FALSE)</f>
        <v/>
      </c>
    </row>
    <row r="481">
      <c r="A481" t="inlineStr">
        <is>
          <t>user_0170</t>
        </is>
      </c>
      <c r="B481" t="inlineStr">
        <is>
          <t>E6</t>
        </is>
      </c>
      <c r="C481" t="inlineStr">
        <is>
          <t>C3</t>
        </is>
      </c>
      <c r="D481" t="n">
        <v>5</v>
      </c>
      <c r="E481" t="inlineStr">
        <is>
          <t>2026-03-26T11:40:32.677672+00:00</t>
        </is>
      </c>
      <c r="F481" t="inlineStr">
        <is>
          <t>2026-03-26T11:40:32.699932+00:00</t>
        </is>
      </c>
      <c r="G481" t="n">
        <v>4</v>
      </c>
      <c r="H481" t="n">
        <v>179.42</v>
      </c>
      <c r="I481" t="n">
        <v>1</v>
      </c>
      <c r="J481" t="n">
        <v>1</v>
      </c>
      <c r="K481" t="n">
        <v>1</v>
      </c>
      <c r="M481" t="inlineStr">
        <is>
          <t>matches_completely</t>
        </is>
      </c>
      <c r="N481" t="n">
        <v>5</v>
      </c>
      <c r="O481" t="inlineStr">
        <is>
          <t>yes</t>
        </is>
      </c>
      <c r="Q481" t="inlineStr">
        <is>
          <t>correct</t>
        </is>
      </c>
      <c r="R481" t="inlineStr">
        <is>
          <t>correct</t>
        </is>
      </c>
      <c r="S481" t="inlineStr">
        <is>
          <t>matches_completely</t>
        </is>
      </c>
      <c r="T481" t="inlineStr">
        <is>
          <t>correct</t>
        </is>
      </c>
      <c r="U481">
        <f>IF(T481="correct",1,0)</f>
        <v/>
      </c>
      <c r="V481">
        <f>VLOOKUP(A481,Participants!$A$2:$B$86,2,FALSE)</f>
        <v/>
      </c>
    </row>
    <row r="482">
      <c r="A482" t="inlineStr">
        <is>
          <t>user_0171</t>
        </is>
      </c>
      <c r="B482" t="inlineStr">
        <is>
          <t>E2</t>
        </is>
      </c>
      <c r="C482" t="inlineStr">
        <is>
          <t>C1</t>
        </is>
      </c>
      <c r="D482" t="n">
        <v>0</v>
      </c>
      <c r="E482" t="inlineStr">
        <is>
          <t>2026-03-26T16:33:05.596978+00:00</t>
        </is>
      </c>
      <c r="F482" t="inlineStr">
        <is>
          <t>2026-03-26T16:33:05.617216+00:00</t>
        </is>
      </c>
      <c r="G482" t="n">
        <v>7</v>
      </c>
      <c r="H482" t="n">
        <v>594.38</v>
      </c>
      <c r="I482" t="n">
        <v>2</v>
      </c>
      <c r="J482" t="n">
        <v>1</v>
      </c>
      <c r="K482" t="n">
        <v>1</v>
      </c>
      <c r="M482" t="inlineStr">
        <is>
          <t>matches_completely</t>
        </is>
      </c>
      <c r="N482" t="n">
        <v>5</v>
      </c>
      <c r="O482" t="inlineStr">
        <is>
          <t>yes</t>
        </is>
      </c>
      <c r="Q482" t="inlineStr">
        <is>
          <t>correct</t>
        </is>
      </c>
      <c r="R482" t="inlineStr">
        <is>
          <t>correct</t>
        </is>
      </c>
      <c r="S482" t="inlineStr">
        <is>
          <t>matches_completely</t>
        </is>
      </c>
      <c r="T482" t="inlineStr">
        <is>
          <t>correct</t>
        </is>
      </c>
      <c r="U482">
        <f>IF(T482="correct",1,0)</f>
        <v/>
      </c>
      <c r="V482">
        <f>VLOOKUP(A482,Participants!$A$2:$B$86,2,FALSE)</f>
        <v/>
      </c>
    </row>
    <row r="483">
      <c r="A483" t="inlineStr">
        <is>
          <t>user_0171</t>
        </is>
      </c>
      <c r="B483" t="inlineStr">
        <is>
          <t>E1</t>
        </is>
      </c>
      <c r="C483" t="inlineStr">
        <is>
          <t>C2</t>
        </is>
      </c>
      <c r="D483" t="n">
        <v>1</v>
      </c>
      <c r="E483" t="inlineStr">
        <is>
          <t>2026-03-26T16:37:13.580824+00:00</t>
        </is>
      </c>
      <c r="F483" t="inlineStr">
        <is>
          <t>2026-03-26T16:37:13.601175+00:00</t>
        </is>
      </c>
      <c r="G483" t="n">
        <v>4</v>
      </c>
      <c r="H483" t="n">
        <v>158.41</v>
      </c>
      <c r="I483" t="n">
        <v>1</v>
      </c>
      <c r="J483" t="n">
        <v>1</v>
      </c>
      <c r="K483" t="n">
        <v>1</v>
      </c>
      <c r="M483" t="inlineStr">
        <is>
          <t>matches_completely</t>
        </is>
      </c>
      <c r="N483" t="n">
        <v>5</v>
      </c>
      <c r="O483" t="inlineStr">
        <is>
          <t>yes</t>
        </is>
      </c>
      <c r="Q483" t="inlineStr">
        <is>
          <t>correct</t>
        </is>
      </c>
      <c r="R483" t="inlineStr">
        <is>
          <t>correct</t>
        </is>
      </c>
      <c r="S483" t="inlineStr">
        <is>
          <t>matches_completely</t>
        </is>
      </c>
      <c r="T483" t="inlineStr">
        <is>
          <t>correct</t>
        </is>
      </c>
      <c r="U483">
        <f>IF(T483="correct",1,0)</f>
        <v/>
      </c>
      <c r="V483">
        <f>VLOOKUP(A483,Participants!$A$2:$B$86,2,FALSE)</f>
        <v/>
      </c>
    </row>
    <row r="484">
      <c r="A484" t="inlineStr">
        <is>
          <t>user_0171</t>
        </is>
      </c>
      <c r="B484" t="inlineStr">
        <is>
          <t>E3</t>
        </is>
      </c>
      <c r="C484" t="inlineStr">
        <is>
          <t>C3</t>
        </is>
      </c>
      <c r="D484" t="n">
        <v>2</v>
      </c>
      <c r="E484" t="inlineStr">
        <is>
          <t>2026-03-26T16:52:27.496258+00:00</t>
        </is>
      </c>
      <c r="F484" t="inlineStr">
        <is>
          <t>2026-03-26T16:52:27.517141+00:00</t>
        </is>
      </c>
      <c r="G484" t="n">
        <v>12</v>
      </c>
      <c r="H484" t="n">
        <v>819.52</v>
      </c>
      <c r="I484" t="n">
        <v>3</v>
      </c>
      <c r="J484" t="n">
        <v>1</v>
      </c>
      <c r="K484" t="n">
        <v>1</v>
      </c>
      <c r="M484" t="inlineStr">
        <is>
          <t>partially</t>
        </is>
      </c>
      <c r="N484" t="n">
        <v>3</v>
      </c>
      <c r="O484" t="inlineStr">
        <is>
          <t>yes</t>
        </is>
      </c>
      <c r="Q484" t="inlineStr">
        <is>
          <t>correct</t>
        </is>
      </c>
      <c r="R484" t="inlineStr">
        <is>
          <t>correct</t>
        </is>
      </c>
      <c r="S484" t="inlineStr">
        <is>
          <t>matches_completely</t>
        </is>
      </c>
      <c r="T484" t="inlineStr">
        <is>
          <t>correct</t>
        </is>
      </c>
      <c r="U484">
        <f>IF(T484="correct",1,0)</f>
        <v/>
      </c>
      <c r="V484">
        <f>VLOOKUP(A484,Participants!$A$2:$B$86,2,FALSE)</f>
        <v/>
      </c>
    </row>
    <row r="485">
      <c r="A485" t="inlineStr">
        <is>
          <t>user_0171</t>
        </is>
      </c>
      <c r="B485" t="inlineStr">
        <is>
          <t>E5</t>
        </is>
      </c>
      <c r="C485" t="inlineStr">
        <is>
          <t>C1</t>
        </is>
      </c>
      <c r="D485" t="n">
        <v>3</v>
      </c>
      <c r="E485" t="inlineStr">
        <is>
          <t>2026-03-26T16:55:09.004859+00:00</t>
        </is>
      </c>
      <c r="F485" t="inlineStr">
        <is>
          <t>2026-03-26T16:55:09.026701+00:00</t>
        </is>
      </c>
      <c r="G485" t="n">
        <v>4</v>
      </c>
      <c r="H485" t="n">
        <v>57.11</v>
      </c>
      <c r="I485" t="n">
        <v>1</v>
      </c>
      <c r="J485" t="n">
        <v>1</v>
      </c>
      <c r="K485" t="n">
        <v>1</v>
      </c>
      <c r="M485" t="inlineStr">
        <is>
          <t>matches_completely</t>
        </is>
      </c>
      <c r="N485" t="n">
        <v>5</v>
      </c>
      <c r="O485" t="inlineStr">
        <is>
          <t>yes</t>
        </is>
      </c>
      <c r="Q485" t="inlineStr">
        <is>
          <t>correct</t>
        </is>
      </c>
      <c r="R485" t="inlineStr">
        <is>
          <t>correct</t>
        </is>
      </c>
      <c r="S485" t="inlineStr">
        <is>
          <t>matches_completely</t>
        </is>
      </c>
      <c r="T485" t="inlineStr">
        <is>
          <t>correct</t>
        </is>
      </c>
      <c r="U485">
        <f>IF(T485="correct",1,0)</f>
        <v/>
      </c>
      <c r="V485">
        <f>VLOOKUP(A485,Participants!$A$2:$B$86,2,FALSE)</f>
        <v/>
      </c>
    </row>
    <row r="486">
      <c r="A486" t="inlineStr">
        <is>
          <t>user_0171</t>
        </is>
      </c>
      <c r="B486" t="inlineStr">
        <is>
          <t>E4</t>
        </is>
      </c>
      <c r="C486" t="inlineStr">
        <is>
          <t>C2</t>
        </is>
      </c>
      <c r="D486" t="n">
        <v>4</v>
      </c>
      <c r="E486" t="inlineStr">
        <is>
          <t>2026-03-26T16:56:28.195590+00:00</t>
        </is>
      </c>
      <c r="F486" t="inlineStr">
        <is>
          <t>2026-03-26T16:56:28.215314+00:00</t>
        </is>
      </c>
      <c r="G486" t="n">
        <v>4</v>
      </c>
      <c r="H486" t="n">
        <v>49.69</v>
      </c>
      <c r="I486" t="n">
        <v>1</v>
      </c>
      <c r="J486" t="n">
        <v>1</v>
      </c>
      <c r="K486" t="n">
        <v>1</v>
      </c>
      <c r="M486" t="inlineStr">
        <is>
          <t>matches_completely</t>
        </is>
      </c>
      <c r="N486" t="n">
        <v>5</v>
      </c>
      <c r="O486" t="inlineStr">
        <is>
          <t>yes</t>
        </is>
      </c>
      <c r="Q486" t="inlineStr">
        <is>
          <t>correct</t>
        </is>
      </c>
      <c r="R486" t="inlineStr">
        <is>
          <t>correct</t>
        </is>
      </c>
      <c r="S486" t="inlineStr">
        <is>
          <t>matches_completely</t>
        </is>
      </c>
      <c r="T486" t="inlineStr">
        <is>
          <t>correct</t>
        </is>
      </c>
      <c r="U486">
        <f>IF(T486="correct",1,0)</f>
        <v/>
      </c>
      <c r="V486">
        <f>VLOOKUP(A486,Participants!$A$2:$B$86,2,FALSE)</f>
        <v/>
      </c>
    </row>
    <row r="487">
      <c r="A487" t="inlineStr">
        <is>
          <t>user_0171</t>
        </is>
      </c>
      <c r="B487" t="inlineStr">
        <is>
          <t>E6</t>
        </is>
      </c>
      <c r="C487" t="inlineStr">
        <is>
          <t>C3</t>
        </is>
      </c>
      <c r="D487" t="n">
        <v>5</v>
      </c>
      <c r="E487" t="inlineStr">
        <is>
          <t>2026-03-26T16:59:01.496007+00:00</t>
        </is>
      </c>
      <c r="F487" t="inlineStr">
        <is>
          <t>2026-03-26T16:59:01.515808+00:00</t>
        </is>
      </c>
      <c r="G487" t="n">
        <v>4</v>
      </c>
      <c r="H487" t="n">
        <v>116.25</v>
      </c>
      <c r="I487" t="n">
        <v>1</v>
      </c>
      <c r="J487" t="n">
        <v>1</v>
      </c>
      <c r="K487" t="n">
        <v>1</v>
      </c>
      <c r="M487" t="inlineStr">
        <is>
          <t>matches_completely</t>
        </is>
      </c>
      <c r="N487" t="n">
        <v>5</v>
      </c>
      <c r="O487" t="inlineStr">
        <is>
          <t>yes</t>
        </is>
      </c>
      <c r="Q487" t="inlineStr">
        <is>
          <t>correct</t>
        </is>
      </c>
      <c r="R487" t="inlineStr">
        <is>
          <t>correct</t>
        </is>
      </c>
      <c r="S487" t="inlineStr">
        <is>
          <t>matches_completely</t>
        </is>
      </c>
      <c r="T487" t="inlineStr">
        <is>
          <t>correct</t>
        </is>
      </c>
      <c r="U487">
        <f>IF(T487="correct",1,0)</f>
        <v/>
      </c>
      <c r="V487">
        <f>VLOOKUP(A487,Participants!$A$2:$B$86,2,FALSE)</f>
        <v/>
      </c>
    </row>
    <row r="488">
      <c r="A488" t="inlineStr">
        <is>
          <t>user_0201</t>
        </is>
      </c>
      <c r="B488" t="inlineStr">
        <is>
          <t>E2</t>
        </is>
      </c>
      <c r="C488" t="inlineStr">
        <is>
          <t>C1</t>
        </is>
      </c>
      <c r="D488" t="n">
        <v>0</v>
      </c>
      <c r="E488" t="inlineStr">
        <is>
          <t>2026-03-24T16:08:06.697903+00:00</t>
        </is>
      </c>
      <c r="F488" t="inlineStr">
        <is>
          <t>2026-03-24T16:08:06.722762+00:00</t>
        </is>
      </c>
      <c r="G488" t="n">
        <v>7</v>
      </c>
      <c r="H488" t="n">
        <v>712.95</v>
      </c>
      <c r="I488" t="n">
        <v>2</v>
      </c>
      <c r="J488" t="n">
        <v>1</v>
      </c>
      <c r="K488" t="n">
        <v>1</v>
      </c>
      <c r="M488" t="inlineStr">
        <is>
          <t>partially</t>
        </is>
      </c>
      <c r="N488" t="n">
        <v>4</v>
      </c>
      <c r="O488" t="inlineStr">
        <is>
          <t>no</t>
        </is>
      </c>
      <c r="Q488" t="inlineStr">
        <is>
          <t>correct</t>
        </is>
      </c>
      <c r="R488" t="inlineStr">
        <is>
          <t>correct</t>
        </is>
      </c>
      <c r="S488" t="inlineStr">
        <is>
          <t>does_not_match</t>
        </is>
      </c>
      <c r="T488" t="inlineStr">
        <is>
          <t>correct</t>
        </is>
      </c>
      <c r="U488">
        <f>IF(T488="correct",1,0)</f>
        <v/>
      </c>
      <c r="V488">
        <f>VLOOKUP(A488,Participants!$A$2:$B$86,2,FALSE)</f>
        <v/>
      </c>
    </row>
    <row r="489">
      <c r="A489" t="inlineStr">
        <is>
          <t>user_0201</t>
        </is>
      </c>
      <c r="B489" t="inlineStr">
        <is>
          <t>E1</t>
        </is>
      </c>
      <c r="C489" t="inlineStr">
        <is>
          <t>C2</t>
        </is>
      </c>
      <c r="D489" t="n">
        <v>1</v>
      </c>
      <c r="E489" t="inlineStr">
        <is>
          <t>2026-03-24T16:32:06.796280+00:00</t>
        </is>
      </c>
      <c r="F489" t="inlineStr">
        <is>
          <t>2026-03-24T16:32:06.822451+00:00</t>
        </is>
      </c>
      <c r="G489" t="n">
        <v>11</v>
      </c>
      <c r="H489" t="n">
        <v>1303.28</v>
      </c>
      <c r="I489" t="n">
        <v>3</v>
      </c>
      <c r="J489" t="n">
        <v>1</v>
      </c>
      <c r="K489" t="n">
        <v>1</v>
      </c>
      <c r="M489" t="inlineStr">
        <is>
          <t>partially</t>
        </is>
      </c>
      <c r="N489" t="n">
        <v>4</v>
      </c>
      <c r="O489" t="inlineStr">
        <is>
          <t>no</t>
        </is>
      </c>
      <c r="Q489" t="inlineStr">
        <is>
          <t>correct</t>
        </is>
      </c>
      <c r="R489" t="inlineStr">
        <is>
          <t>correct</t>
        </is>
      </c>
      <c r="S489" t="inlineStr">
        <is>
          <t>matches_completely</t>
        </is>
      </c>
      <c r="T489" t="inlineStr">
        <is>
          <t>correct</t>
        </is>
      </c>
      <c r="U489">
        <f>IF(T489="correct",1,0)</f>
        <v/>
      </c>
      <c r="V489">
        <f>VLOOKUP(A489,Participants!$A$2:$B$86,2,FALSE)</f>
        <v/>
      </c>
    </row>
    <row r="490">
      <c r="A490" t="inlineStr">
        <is>
          <t>user_0201</t>
        </is>
      </c>
      <c r="B490" t="inlineStr">
        <is>
          <t>E3</t>
        </is>
      </c>
      <c r="C490" t="inlineStr">
        <is>
          <t>C3</t>
        </is>
      </c>
      <c r="D490" t="n">
        <v>2</v>
      </c>
      <c r="E490" t="inlineStr">
        <is>
          <t>2026-03-24T16:54:26.103567+00:00</t>
        </is>
      </c>
      <c r="F490" t="inlineStr">
        <is>
          <t>2026-03-24T16:54:26.138882+00:00</t>
        </is>
      </c>
      <c r="G490" t="n">
        <v>4</v>
      </c>
      <c r="H490" t="n">
        <v>542.9400000000001</v>
      </c>
      <c r="I490" t="n">
        <v>1</v>
      </c>
      <c r="J490" t="n">
        <v>1</v>
      </c>
      <c r="K490" t="n">
        <v>1</v>
      </c>
      <c r="M490" t="inlineStr">
        <is>
          <t>matches_completely</t>
        </is>
      </c>
      <c r="N490" t="n">
        <v>3</v>
      </c>
      <c r="O490" t="inlineStr">
        <is>
          <t>yes</t>
        </is>
      </c>
      <c r="Q490" t="inlineStr">
        <is>
          <t>correct</t>
        </is>
      </c>
      <c r="R490" t="inlineStr">
        <is>
          <t>correct</t>
        </is>
      </c>
      <c r="S490" t="inlineStr">
        <is>
          <t>partially</t>
        </is>
      </c>
      <c r="T490" t="inlineStr">
        <is>
          <t>correct</t>
        </is>
      </c>
      <c r="U490">
        <f>IF(T490="correct",1,0)</f>
        <v/>
      </c>
      <c r="V490">
        <f>VLOOKUP(A490,Participants!$A$2:$B$86,2,FALSE)</f>
        <v/>
      </c>
    </row>
    <row r="491">
      <c r="A491" t="inlineStr">
        <is>
          <t>user_0201</t>
        </is>
      </c>
      <c r="B491" t="inlineStr">
        <is>
          <t>E5</t>
        </is>
      </c>
      <c r="C491" t="inlineStr">
        <is>
          <t>C1</t>
        </is>
      </c>
      <c r="D491" t="n">
        <v>3</v>
      </c>
      <c r="E491" t="inlineStr">
        <is>
          <t>2026-03-24T17:11:53.527051+00:00</t>
        </is>
      </c>
      <c r="F491" t="inlineStr">
        <is>
          <t>2026-03-24T17:11:53.550142+00:00</t>
        </is>
      </c>
      <c r="G491" t="n">
        <v>7</v>
      </c>
      <c r="H491" t="n">
        <v>238.15</v>
      </c>
      <c r="I491" t="n">
        <v>2</v>
      </c>
      <c r="J491" t="n">
        <v>1</v>
      </c>
      <c r="K491" t="n">
        <v>1</v>
      </c>
      <c r="M491" t="inlineStr">
        <is>
          <t>matches_completely</t>
        </is>
      </c>
      <c r="N491" t="n">
        <v>4</v>
      </c>
      <c r="O491" t="inlineStr">
        <is>
          <t>no</t>
        </is>
      </c>
      <c r="Q491" t="inlineStr">
        <is>
          <t>correct</t>
        </is>
      </c>
      <c r="R491" t="inlineStr">
        <is>
          <t>correct</t>
        </is>
      </c>
      <c r="S491" t="inlineStr">
        <is>
          <t>matches_completely</t>
        </is>
      </c>
      <c r="T491" t="inlineStr">
        <is>
          <t>correct</t>
        </is>
      </c>
      <c r="U491">
        <f>IF(T491="correct",1,0)</f>
        <v/>
      </c>
      <c r="V491">
        <f>VLOOKUP(A491,Participants!$A$2:$B$86,2,FALSE)</f>
        <v/>
      </c>
    </row>
    <row r="492">
      <c r="A492" t="inlineStr">
        <is>
          <t>user_0201</t>
        </is>
      </c>
      <c r="B492" t="inlineStr">
        <is>
          <t>E4</t>
        </is>
      </c>
      <c r="C492" t="inlineStr">
        <is>
          <t>C2</t>
        </is>
      </c>
      <c r="D492" t="n">
        <v>4</v>
      </c>
      <c r="E492" t="inlineStr">
        <is>
          <t>2026-03-24T18:00:09.111764+00:00</t>
        </is>
      </c>
      <c r="F492" t="inlineStr">
        <is>
          <t>2026-03-24T18:00:09.134947+00:00</t>
        </is>
      </c>
      <c r="G492" t="n">
        <v>10</v>
      </c>
      <c r="H492" t="n">
        <v>1040.54</v>
      </c>
      <c r="I492" t="n">
        <v>3</v>
      </c>
      <c r="J492" t="n">
        <v>1</v>
      </c>
      <c r="K492" t="n">
        <v>1</v>
      </c>
      <c r="M492" t="inlineStr">
        <is>
          <t>matches_completely</t>
        </is>
      </c>
      <c r="N492" t="n">
        <v>4</v>
      </c>
      <c r="O492" t="inlineStr">
        <is>
          <t>yes</t>
        </is>
      </c>
      <c r="Q492" t="inlineStr">
        <is>
          <t>correct</t>
        </is>
      </c>
      <c r="R492" t="inlineStr">
        <is>
          <t>correct</t>
        </is>
      </c>
      <c r="S492" t="inlineStr">
        <is>
          <t>matches_completely</t>
        </is>
      </c>
      <c r="T492" t="inlineStr">
        <is>
          <t>correct</t>
        </is>
      </c>
      <c r="U492">
        <f>IF(T492="correct",1,0)</f>
        <v/>
      </c>
      <c r="V492">
        <f>VLOOKUP(A492,Participants!$A$2:$B$86,2,FALSE)</f>
        <v/>
      </c>
    </row>
    <row r="493">
      <c r="A493" t="inlineStr">
        <is>
          <t>user_0201</t>
        </is>
      </c>
      <c r="B493" t="inlineStr">
        <is>
          <t>E6</t>
        </is>
      </c>
      <c r="C493" t="inlineStr">
        <is>
          <t>C3</t>
        </is>
      </c>
      <c r="D493" t="n">
        <v>5</v>
      </c>
      <c r="E493" t="inlineStr">
        <is>
          <t>2026-03-24T18:10:16.427511+00:00</t>
        </is>
      </c>
      <c r="F493" t="inlineStr">
        <is>
          <t>2026-03-24T18:10:16.460890+00:00</t>
        </is>
      </c>
      <c r="G493" t="n">
        <v>7</v>
      </c>
      <c r="H493" t="n">
        <v>420.16</v>
      </c>
      <c r="I493" t="n">
        <v>2</v>
      </c>
      <c r="J493" t="n">
        <v>1</v>
      </c>
      <c r="K493" t="n">
        <v>1</v>
      </c>
      <c r="M493" t="inlineStr">
        <is>
          <t>matches_completely</t>
        </is>
      </c>
      <c r="N493" t="n">
        <v>3</v>
      </c>
      <c r="O493" t="inlineStr">
        <is>
          <t>yes</t>
        </is>
      </c>
      <c r="Q493" t="inlineStr">
        <is>
          <t>correct</t>
        </is>
      </c>
      <c r="R493" t="inlineStr">
        <is>
          <t>correct</t>
        </is>
      </c>
      <c r="S493" t="inlineStr">
        <is>
          <t>matches_completely</t>
        </is>
      </c>
      <c r="T493" t="inlineStr">
        <is>
          <t>correct</t>
        </is>
      </c>
      <c r="U493">
        <f>IF(T493="correct",1,0)</f>
        <v/>
      </c>
      <c r="V493">
        <f>VLOOKUP(A493,Participants!$A$2:$B$86,2,FALSE)</f>
        <v/>
      </c>
    </row>
    <row r="494">
      <c r="A494" t="inlineStr">
        <is>
          <t>user_0203</t>
        </is>
      </c>
      <c r="B494" t="inlineStr">
        <is>
          <t>E2</t>
        </is>
      </c>
      <c r="C494" t="inlineStr">
        <is>
          <t>C1</t>
        </is>
      </c>
      <c r="D494" t="n">
        <v>0</v>
      </c>
      <c r="E494" t="inlineStr">
        <is>
          <t>2026-03-26T16:05:23.206972+00:00</t>
        </is>
      </c>
      <c r="F494" t="inlineStr">
        <is>
          <t>2026-03-26T16:05:23.229183+00:00</t>
        </is>
      </c>
      <c r="G494" t="n">
        <v>4</v>
      </c>
      <c r="H494" t="n">
        <v>181.19</v>
      </c>
      <c r="I494" t="n">
        <v>1</v>
      </c>
      <c r="J494" t="n">
        <v>1</v>
      </c>
      <c r="K494" t="n">
        <v>1</v>
      </c>
      <c r="M494" t="inlineStr">
        <is>
          <t>partially</t>
        </is>
      </c>
      <c r="N494" t="n">
        <v>4</v>
      </c>
      <c r="O494" t="inlineStr">
        <is>
          <t>yes</t>
        </is>
      </c>
      <c r="Q494" t="inlineStr">
        <is>
          <t>correct</t>
        </is>
      </c>
      <c r="R494" t="inlineStr">
        <is>
          <t>correct</t>
        </is>
      </c>
      <c r="S494" t="inlineStr">
        <is>
          <t>matches_completely</t>
        </is>
      </c>
      <c r="T494" t="inlineStr">
        <is>
          <t>correct</t>
        </is>
      </c>
      <c r="U494">
        <f>IF(T494="correct",1,0)</f>
        <v/>
      </c>
      <c r="V494">
        <f>VLOOKUP(A494,Participants!$A$2:$B$86,2,FALSE)</f>
        <v/>
      </c>
    </row>
    <row r="495">
      <c r="A495" t="inlineStr">
        <is>
          <t>user_0203</t>
        </is>
      </c>
      <c r="B495" t="inlineStr">
        <is>
          <t>E1</t>
        </is>
      </c>
      <c r="C495" t="inlineStr">
        <is>
          <t>C2</t>
        </is>
      </c>
      <c r="D495" t="n">
        <v>1</v>
      </c>
      <c r="E495" t="inlineStr">
        <is>
          <t>2026-03-26T16:13:09.353169+00:00</t>
        </is>
      </c>
      <c r="F495" t="inlineStr">
        <is>
          <t>2026-03-26T16:13:09.376056+00:00</t>
        </is>
      </c>
      <c r="G495" t="n">
        <v>4</v>
      </c>
      <c r="H495" t="n">
        <v>141.58</v>
      </c>
      <c r="I495" t="n">
        <v>1</v>
      </c>
      <c r="J495" t="n">
        <v>1</v>
      </c>
      <c r="K495" t="n">
        <v>1</v>
      </c>
      <c r="M495" t="inlineStr">
        <is>
          <t>matches_completely</t>
        </is>
      </c>
      <c r="N495" t="n">
        <v>5</v>
      </c>
      <c r="O495" t="inlineStr">
        <is>
          <t>yes</t>
        </is>
      </c>
      <c r="Q495" t="inlineStr">
        <is>
          <t>correct</t>
        </is>
      </c>
      <c r="R495" t="inlineStr">
        <is>
          <t>correct</t>
        </is>
      </c>
      <c r="S495" t="inlineStr">
        <is>
          <t>matches_completely</t>
        </is>
      </c>
      <c r="T495" t="inlineStr">
        <is>
          <t>correct</t>
        </is>
      </c>
      <c r="U495">
        <f>IF(T495="correct",1,0)</f>
        <v/>
      </c>
      <c r="V495">
        <f>VLOOKUP(A495,Participants!$A$2:$B$86,2,FALSE)</f>
        <v/>
      </c>
    </row>
    <row r="496">
      <c r="A496" t="inlineStr">
        <is>
          <t>user_0203</t>
        </is>
      </c>
      <c r="B496" t="inlineStr">
        <is>
          <t>E3</t>
        </is>
      </c>
      <c r="C496" t="inlineStr">
        <is>
          <t>C3</t>
        </is>
      </c>
      <c r="D496" t="n">
        <v>2</v>
      </c>
      <c r="E496" t="inlineStr">
        <is>
          <t>2026-03-26T16:32:41.077416+00:00</t>
        </is>
      </c>
      <c r="F496" t="inlineStr">
        <is>
          <t>2026-03-26T16:32:41.100024+00:00</t>
        </is>
      </c>
      <c r="G496" t="n">
        <v>4</v>
      </c>
      <c r="H496" t="n">
        <v>121.53</v>
      </c>
      <c r="I496" t="n">
        <v>1</v>
      </c>
      <c r="J496" t="n">
        <v>1</v>
      </c>
      <c r="K496" t="n">
        <v>1</v>
      </c>
      <c r="M496" t="inlineStr">
        <is>
          <t>matches_completely</t>
        </is>
      </c>
      <c r="N496" t="n">
        <v>4</v>
      </c>
      <c r="O496" t="inlineStr">
        <is>
          <t>yes</t>
        </is>
      </c>
      <c r="Q496" t="inlineStr">
        <is>
          <t>correct</t>
        </is>
      </c>
      <c r="R496" t="inlineStr">
        <is>
          <t>correct</t>
        </is>
      </c>
      <c r="S496" t="inlineStr">
        <is>
          <t>matches_completely</t>
        </is>
      </c>
      <c r="T496" t="inlineStr">
        <is>
          <t>correct</t>
        </is>
      </c>
      <c r="U496">
        <f>IF(T496="correct",1,0)</f>
        <v/>
      </c>
      <c r="V496">
        <f>VLOOKUP(A496,Participants!$A$2:$B$86,2,FALSE)</f>
        <v/>
      </c>
    </row>
    <row r="497">
      <c r="A497" t="inlineStr">
        <is>
          <t>user_0203</t>
        </is>
      </c>
      <c r="B497" t="inlineStr">
        <is>
          <t>E5</t>
        </is>
      </c>
      <c r="C497" t="inlineStr">
        <is>
          <t>C1</t>
        </is>
      </c>
      <c r="D497" t="n">
        <v>3</v>
      </c>
      <c r="E497" t="inlineStr">
        <is>
          <t>2026-03-26T16:39:42.730744+00:00</t>
        </is>
      </c>
      <c r="F497" t="inlineStr">
        <is>
          <t>2026-03-26T16:39:42.750781+00:00</t>
        </is>
      </c>
      <c r="G497" t="n">
        <v>4</v>
      </c>
      <c r="H497" t="n">
        <v>46.23</v>
      </c>
      <c r="I497" t="n">
        <v>1</v>
      </c>
      <c r="J497" t="n">
        <v>1</v>
      </c>
      <c r="K497" t="n">
        <v>1</v>
      </c>
      <c r="M497" t="inlineStr">
        <is>
          <t>matches_completely</t>
        </is>
      </c>
      <c r="N497" t="n">
        <v>5</v>
      </c>
      <c r="O497" t="inlineStr">
        <is>
          <t>yes</t>
        </is>
      </c>
      <c r="Q497" t="inlineStr">
        <is>
          <t>correct</t>
        </is>
      </c>
      <c r="R497" t="inlineStr">
        <is>
          <t>correct</t>
        </is>
      </c>
      <c r="S497" t="inlineStr">
        <is>
          <t>matches_completely</t>
        </is>
      </c>
      <c r="T497" t="inlineStr">
        <is>
          <t>correct</t>
        </is>
      </c>
      <c r="U497">
        <f>IF(T497="correct",1,0)</f>
        <v/>
      </c>
      <c r="V497">
        <f>VLOOKUP(A497,Participants!$A$2:$B$86,2,FALSE)</f>
        <v/>
      </c>
    </row>
    <row r="498">
      <c r="A498" t="inlineStr">
        <is>
          <t>user_0203</t>
        </is>
      </c>
      <c r="B498" t="inlineStr">
        <is>
          <t>E4</t>
        </is>
      </c>
      <c r="C498" t="inlineStr">
        <is>
          <t>C2</t>
        </is>
      </c>
      <c r="D498" t="n">
        <v>4</v>
      </c>
      <c r="E498" t="inlineStr">
        <is>
          <t>2026-03-26T16:42:09.633589+00:00</t>
        </is>
      </c>
      <c r="F498" t="inlineStr">
        <is>
          <t>2026-03-26T16:42:09.651925+00:00</t>
        </is>
      </c>
      <c r="G498" t="n">
        <v>4</v>
      </c>
      <c r="H498" t="n">
        <v>46.97</v>
      </c>
      <c r="I498" t="n">
        <v>1</v>
      </c>
      <c r="J498" t="n">
        <v>1</v>
      </c>
      <c r="K498" t="n">
        <v>1</v>
      </c>
      <c r="M498" t="inlineStr">
        <is>
          <t>matches_completely</t>
        </is>
      </c>
      <c r="N498" t="n">
        <v>5</v>
      </c>
      <c r="O498" t="inlineStr">
        <is>
          <t>yes</t>
        </is>
      </c>
      <c r="Q498" t="inlineStr">
        <is>
          <t>correct</t>
        </is>
      </c>
      <c r="R498" t="inlineStr">
        <is>
          <t>correct</t>
        </is>
      </c>
      <c r="S498" t="inlineStr">
        <is>
          <t>matches_completely</t>
        </is>
      </c>
      <c r="T498" t="inlineStr">
        <is>
          <t>correct</t>
        </is>
      </c>
      <c r="U498">
        <f>IF(T498="correct",1,0)</f>
        <v/>
      </c>
      <c r="V498">
        <f>VLOOKUP(A498,Participants!$A$2:$B$86,2,FALSE)</f>
        <v/>
      </c>
    </row>
    <row r="499">
      <c r="A499" t="inlineStr">
        <is>
          <t>user_0203</t>
        </is>
      </c>
      <c r="B499" t="inlineStr">
        <is>
          <t>E6</t>
        </is>
      </c>
      <c r="C499" t="inlineStr">
        <is>
          <t>C3</t>
        </is>
      </c>
      <c r="D499" t="n">
        <v>5</v>
      </c>
      <c r="E499" t="inlineStr">
        <is>
          <t>2026-03-26T16:45:15.838037+00:00</t>
        </is>
      </c>
      <c r="F499" t="inlineStr">
        <is>
          <t>2026-03-26T16:45:15.858527+00:00</t>
        </is>
      </c>
      <c r="G499" t="n">
        <v>4</v>
      </c>
      <c r="H499" t="n">
        <v>41.46</v>
      </c>
      <c r="I499" t="n">
        <v>1</v>
      </c>
      <c r="J499" t="n">
        <v>1</v>
      </c>
      <c r="K499" t="n">
        <v>1</v>
      </c>
      <c r="M499" t="inlineStr">
        <is>
          <t>matches_completely</t>
        </is>
      </c>
      <c r="N499" t="n">
        <v>4</v>
      </c>
      <c r="O499" t="inlineStr">
        <is>
          <t>yes</t>
        </is>
      </c>
      <c r="Q499" t="inlineStr">
        <is>
          <t>correct</t>
        </is>
      </c>
      <c r="R499" t="inlineStr">
        <is>
          <t>correct</t>
        </is>
      </c>
      <c r="S499" t="inlineStr">
        <is>
          <t>matches_completely</t>
        </is>
      </c>
      <c r="T499" t="inlineStr">
        <is>
          <t>correct</t>
        </is>
      </c>
      <c r="U499">
        <f>IF(T499="correct",1,0)</f>
        <v/>
      </c>
      <c r="V499">
        <f>VLOOKUP(A499,Participants!$A$2:$B$86,2,FALSE)</f>
        <v/>
      </c>
    </row>
    <row r="500">
      <c r="A500" t="inlineStr">
        <is>
          <t>user_0204</t>
        </is>
      </c>
      <c r="B500" t="inlineStr">
        <is>
          <t>E2</t>
        </is>
      </c>
      <c r="C500" t="inlineStr">
        <is>
          <t>C1</t>
        </is>
      </c>
      <c r="D500" t="n">
        <v>0</v>
      </c>
      <c r="E500" t="inlineStr">
        <is>
          <t>2026-03-25T22:31:55.206783+00:00</t>
        </is>
      </c>
      <c r="F500" t="inlineStr">
        <is>
          <t>2026-03-25T22:31:55.225991+00:00</t>
        </is>
      </c>
      <c r="G500" t="n">
        <v>4</v>
      </c>
      <c r="H500" t="n">
        <v>919.98</v>
      </c>
      <c r="I500" t="n">
        <v>1</v>
      </c>
      <c r="J500" t="n">
        <v>1</v>
      </c>
      <c r="K500" t="n">
        <v>1</v>
      </c>
      <c r="M500" t="inlineStr">
        <is>
          <t>partially</t>
        </is>
      </c>
      <c r="N500" t="n">
        <v>3</v>
      </c>
      <c r="O500" t="inlineStr">
        <is>
          <t>yes</t>
        </is>
      </c>
      <c r="Q500" t="inlineStr">
        <is>
          <t>correct</t>
        </is>
      </c>
      <c r="R500" t="inlineStr">
        <is>
          <t>correct</t>
        </is>
      </c>
      <c r="S500" t="inlineStr">
        <is>
          <t>matches_completely</t>
        </is>
      </c>
      <c r="T500" t="inlineStr">
        <is>
          <t>correct</t>
        </is>
      </c>
      <c r="U500">
        <f>IF(T500="correct",1,0)</f>
        <v/>
      </c>
      <c r="V500">
        <f>VLOOKUP(A500,Participants!$A$2:$B$86,2,FALSE)</f>
        <v/>
      </c>
    </row>
    <row r="501">
      <c r="A501" t="inlineStr">
        <is>
          <t>user_0204</t>
        </is>
      </c>
      <c r="B501" t="inlineStr">
        <is>
          <t>E1</t>
        </is>
      </c>
      <c r="C501" t="inlineStr">
        <is>
          <t>C2</t>
        </is>
      </c>
      <c r="D501" t="n">
        <v>1</v>
      </c>
      <c r="E501" t="inlineStr">
        <is>
          <t>2026-03-25T22:48:31.373064+00:00</t>
        </is>
      </c>
      <c r="F501" t="inlineStr">
        <is>
          <t>2026-03-25T22:48:31.396535+00:00</t>
        </is>
      </c>
      <c r="G501" t="n">
        <v>10</v>
      </c>
      <c r="H501" t="n">
        <v>655.6799999999999</v>
      </c>
      <c r="I501" t="n">
        <v>3</v>
      </c>
      <c r="J501" t="n">
        <v>1</v>
      </c>
      <c r="K501" t="n">
        <v>1</v>
      </c>
      <c r="M501" t="inlineStr">
        <is>
          <t>partially</t>
        </is>
      </c>
      <c r="N501" t="n">
        <v>4</v>
      </c>
      <c r="O501" t="inlineStr">
        <is>
          <t>yes</t>
        </is>
      </c>
      <c r="Q501" t="inlineStr">
        <is>
          <t>correct</t>
        </is>
      </c>
      <c r="R501" t="inlineStr">
        <is>
          <t>correct</t>
        </is>
      </c>
      <c r="S501" t="inlineStr">
        <is>
          <t>matches_completely</t>
        </is>
      </c>
      <c r="T501" t="inlineStr">
        <is>
          <t>correct</t>
        </is>
      </c>
      <c r="U501">
        <f>IF(T501="correct",1,0)</f>
        <v/>
      </c>
      <c r="V501">
        <f>VLOOKUP(A501,Participants!$A$2:$B$86,2,FALSE)</f>
        <v/>
      </c>
    </row>
    <row r="502">
      <c r="A502" t="inlineStr">
        <is>
          <t>user_0204</t>
        </is>
      </c>
      <c r="B502" t="inlineStr">
        <is>
          <t>E3</t>
        </is>
      </c>
      <c r="C502" t="inlineStr">
        <is>
          <t>C3</t>
        </is>
      </c>
      <c r="D502" t="n">
        <v>2</v>
      </c>
      <c r="E502" t="inlineStr">
        <is>
          <t>2026-03-25T23:00:59.474524+00:00</t>
        </is>
      </c>
      <c r="F502" t="inlineStr">
        <is>
          <t>2026-03-25T23:00:59.497676+00:00</t>
        </is>
      </c>
      <c r="G502" t="n">
        <v>8</v>
      </c>
      <c r="H502" t="n">
        <v>449.49</v>
      </c>
      <c r="I502" t="n">
        <v>3</v>
      </c>
      <c r="J502" t="n">
        <v>1</v>
      </c>
      <c r="K502" t="n">
        <v>1</v>
      </c>
      <c r="M502" t="inlineStr">
        <is>
          <t>partially</t>
        </is>
      </c>
      <c r="N502" t="n">
        <v>4</v>
      </c>
      <c r="O502" t="inlineStr">
        <is>
          <t>yes</t>
        </is>
      </c>
      <c r="Q502" t="inlineStr">
        <is>
          <t>correct</t>
        </is>
      </c>
      <c r="R502" t="inlineStr">
        <is>
          <t>correct</t>
        </is>
      </c>
      <c r="S502" t="inlineStr">
        <is>
          <t>matches_completely</t>
        </is>
      </c>
      <c r="T502" t="inlineStr">
        <is>
          <t>correct</t>
        </is>
      </c>
      <c r="U502">
        <f>IF(T502="correct",1,0)</f>
        <v/>
      </c>
      <c r="V502">
        <f>VLOOKUP(A502,Participants!$A$2:$B$86,2,FALSE)</f>
        <v/>
      </c>
    </row>
    <row r="503">
      <c r="A503" t="inlineStr">
        <is>
          <t>user_0204</t>
        </is>
      </c>
      <c r="B503" t="inlineStr">
        <is>
          <t>E5</t>
        </is>
      </c>
      <c r="C503" t="inlineStr">
        <is>
          <t>C1</t>
        </is>
      </c>
      <c r="D503" t="n">
        <v>3</v>
      </c>
      <c r="E503" t="inlineStr">
        <is>
          <t>2026-03-25T23:09:03.591355+00:00</t>
        </is>
      </c>
      <c r="F503" t="inlineStr">
        <is>
          <t>2026-03-25T23:09:03.612990+00:00</t>
        </is>
      </c>
      <c r="G503" t="n">
        <v>4</v>
      </c>
      <c r="H503" t="n">
        <v>183.35</v>
      </c>
      <c r="I503" t="n">
        <v>1</v>
      </c>
      <c r="J503" t="n">
        <v>1</v>
      </c>
      <c r="K503" t="n">
        <v>1</v>
      </c>
      <c r="M503" t="inlineStr">
        <is>
          <t>partially</t>
        </is>
      </c>
      <c r="N503" t="n">
        <v>4</v>
      </c>
      <c r="O503" t="inlineStr">
        <is>
          <t>yes</t>
        </is>
      </c>
      <c r="Q503" t="inlineStr">
        <is>
          <t>incorrect</t>
        </is>
      </c>
      <c r="R503" t="inlineStr">
        <is>
          <t>correct</t>
        </is>
      </c>
      <c r="S503" t="inlineStr">
        <is>
          <t>matches_completely</t>
        </is>
      </c>
      <c r="T503" t="inlineStr">
        <is>
          <t>incorrect</t>
        </is>
      </c>
      <c r="U503">
        <f>IF(T503="correct",1,0)</f>
        <v/>
      </c>
      <c r="V503">
        <f>VLOOKUP(A503,Participants!$A$2:$B$86,2,FALSE)</f>
        <v/>
      </c>
    </row>
    <row r="504">
      <c r="A504" t="inlineStr">
        <is>
          <t>user_0204</t>
        </is>
      </c>
      <c r="B504" t="inlineStr">
        <is>
          <t>E4</t>
        </is>
      </c>
      <c r="C504" t="inlineStr">
        <is>
          <t>C2</t>
        </is>
      </c>
      <c r="D504" t="n">
        <v>4</v>
      </c>
      <c r="E504" t="inlineStr">
        <is>
          <t>2026-03-25T23:16:18.738101+00:00</t>
        </is>
      </c>
      <c r="F504" t="inlineStr">
        <is>
          <t>2026-03-25T23:16:18.770932+00:00</t>
        </is>
      </c>
      <c r="G504" t="n">
        <v>10</v>
      </c>
      <c r="H504" t="n">
        <v>327.74</v>
      </c>
      <c r="I504" t="n">
        <v>2</v>
      </c>
      <c r="J504" t="n">
        <v>1</v>
      </c>
      <c r="K504" t="n">
        <v>1</v>
      </c>
      <c r="M504" t="inlineStr">
        <is>
          <t>matches_completely</t>
        </is>
      </c>
      <c r="N504" t="n">
        <v>5</v>
      </c>
      <c r="O504" t="inlineStr">
        <is>
          <t>yes</t>
        </is>
      </c>
      <c r="Q504" t="inlineStr">
        <is>
          <t>correct</t>
        </is>
      </c>
      <c r="R504" t="inlineStr">
        <is>
          <t>correct</t>
        </is>
      </c>
      <c r="S504" t="inlineStr">
        <is>
          <t>partially</t>
        </is>
      </c>
      <c r="T504" t="inlineStr">
        <is>
          <t>correct</t>
        </is>
      </c>
      <c r="U504">
        <f>IF(T504="correct",1,0)</f>
        <v/>
      </c>
      <c r="V504">
        <f>VLOOKUP(A504,Participants!$A$2:$B$86,2,FALSE)</f>
        <v/>
      </c>
    </row>
    <row r="505">
      <c r="A505" t="inlineStr">
        <is>
          <t>user_0204</t>
        </is>
      </c>
      <c r="B505" t="inlineStr">
        <is>
          <t>E6</t>
        </is>
      </c>
      <c r="C505" t="inlineStr">
        <is>
          <t>C3</t>
        </is>
      </c>
      <c r="D505" t="n">
        <v>5</v>
      </c>
      <c r="E505" t="inlineStr">
        <is>
          <t>2026-03-25T23:18:17.686230+00:00</t>
        </is>
      </c>
      <c r="F505" t="inlineStr">
        <is>
          <t>2026-03-25T23:18:17.705030+00:00</t>
        </is>
      </c>
      <c r="G505" t="n">
        <v>4</v>
      </c>
      <c r="H505" t="n">
        <v>49.23</v>
      </c>
      <c r="I505" t="n">
        <v>1</v>
      </c>
      <c r="J505" t="n">
        <v>1</v>
      </c>
      <c r="K505" t="n">
        <v>1</v>
      </c>
      <c r="M505" t="inlineStr">
        <is>
          <t>matches_completely</t>
        </is>
      </c>
      <c r="N505" t="n">
        <v>5</v>
      </c>
      <c r="O505" t="inlineStr">
        <is>
          <t>yes</t>
        </is>
      </c>
      <c r="Q505" t="inlineStr">
        <is>
          <t>correct</t>
        </is>
      </c>
      <c r="R505" t="inlineStr">
        <is>
          <t>correct</t>
        </is>
      </c>
      <c r="S505" t="inlineStr">
        <is>
          <t>matches_completely</t>
        </is>
      </c>
      <c r="T505" t="inlineStr">
        <is>
          <t>correct</t>
        </is>
      </c>
      <c r="U505">
        <f>IF(T505="correct",1,0)</f>
        <v/>
      </c>
      <c r="V505">
        <f>VLOOKUP(A505,Participants!$A$2:$B$86,2,FALSE)</f>
        <v/>
      </c>
    </row>
    <row r="506">
      <c r="A506" t="inlineStr">
        <is>
          <t>user_0205</t>
        </is>
      </c>
      <c r="B506" t="inlineStr">
        <is>
          <t>E2</t>
        </is>
      </c>
      <c r="C506" t="inlineStr">
        <is>
          <t>C1</t>
        </is>
      </c>
      <c r="D506" t="n">
        <v>0</v>
      </c>
      <c r="E506" t="inlineStr">
        <is>
          <t>2026-03-25T19:42:10.751171+00:00</t>
        </is>
      </c>
      <c r="F506" t="inlineStr">
        <is>
          <t>2026-03-25T19:42:10.772003+00:00</t>
        </is>
      </c>
      <c r="G506" t="n">
        <v>4</v>
      </c>
      <c r="H506" t="n">
        <v>322.14</v>
      </c>
      <c r="I506" t="n">
        <v>1</v>
      </c>
      <c r="J506" t="n">
        <v>1</v>
      </c>
      <c r="K506" t="n">
        <v>1</v>
      </c>
      <c r="M506" t="inlineStr">
        <is>
          <t>matches_completely</t>
        </is>
      </c>
      <c r="N506" t="n">
        <v>5</v>
      </c>
      <c r="O506" t="inlineStr">
        <is>
          <t>yes</t>
        </is>
      </c>
      <c r="Q506" t="inlineStr">
        <is>
          <t>correct</t>
        </is>
      </c>
      <c r="R506" t="inlineStr">
        <is>
          <t>correct</t>
        </is>
      </c>
      <c r="S506" t="inlineStr">
        <is>
          <t>does_not_match</t>
        </is>
      </c>
      <c r="T506" t="inlineStr">
        <is>
          <t>correct</t>
        </is>
      </c>
      <c r="U506">
        <f>IF(T506="correct",1,0)</f>
        <v/>
      </c>
      <c r="V506">
        <f>VLOOKUP(A506,Participants!$A$2:$B$86,2,FALSE)</f>
        <v/>
      </c>
    </row>
    <row r="507">
      <c r="A507" t="inlineStr">
        <is>
          <t>user_0205</t>
        </is>
      </c>
      <c r="B507" t="inlineStr">
        <is>
          <t>E1</t>
        </is>
      </c>
      <c r="C507" t="inlineStr">
        <is>
          <t>C2</t>
        </is>
      </c>
      <c r="D507" t="n">
        <v>1</v>
      </c>
      <c r="E507" t="inlineStr">
        <is>
          <t>2026-03-25T19:46:32.919643+00:00</t>
        </is>
      </c>
      <c r="F507" t="inlineStr">
        <is>
          <t>2026-03-25T19:46:32.942088+00:00</t>
        </is>
      </c>
      <c r="G507" t="n">
        <v>8</v>
      </c>
      <c r="H507" t="n">
        <v>106.71</v>
      </c>
      <c r="I507" t="n">
        <v>2</v>
      </c>
      <c r="J507" t="n">
        <v>1</v>
      </c>
      <c r="K507" t="n">
        <v>1</v>
      </c>
      <c r="M507" t="inlineStr">
        <is>
          <t>matches_completely</t>
        </is>
      </c>
      <c r="N507" t="n">
        <v>5</v>
      </c>
      <c r="O507" t="inlineStr">
        <is>
          <t>yes</t>
        </is>
      </c>
      <c r="Q507" t="inlineStr">
        <is>
          <t>correct</t>
        </is>
      </c>
      <c r="R507" t="inlineStr">
        <is>
          <t>correct</t>
        </is>
      </c>
      <c r="S507" t="inlineStr">
        <is>
          <t>partially</t>
        </is>
      </c>
      <c r="T507" t="inlineStr">
        <is>
          <t>correct</t>
        </is>
      </c>
      <c r="U507">
        <f>IF(T507="correct",1,0)</f>
        <v/>
      </c>
      <c r="V507">
        <f>VLOOKUP(A507,Participants!$A$2:$B$86,2,FALSE)</f>
        <v/>
      </c>
    </row>
    <row r="508">
      <c r="A508" t="inlineStr">
        <is>
          <t>user_0205</t>
        </is>
      </c>
      <c r="B508" t="inlineStr">
        <is>
          <t>E3</t>
        </is>
      </c>
      <c r="C508" t="inlineStr">
        <is>
          <t>C3</t>
        </is>
      </c>
      <c r="D508" t="n">
        <v>2</v>
      </c>
      <c r="E508" t="inlineStr">
        <is>
          <t>2026-03-25T19:51:03.186559+00:00</t>
        </is>
      </c>
      <c r="F508" t="inlineStr">
        <is>
          <t>2026-03-25T19:51:03.212287+00:00</t>
        </is>
      </c>
      <c r="G508" t="n">
        <v>4</v>
      </c>
      <c r="H508" t="n">
        <v>111.12</v>
      </c>
      <c r="I508" t="n">
        <v>1</v>
      </c>
      <c r="J508" t="n">
        <v>1</v>
      </c>
      <c r="K508" t="n">
        <v>1</v>
      </c>
      <c r="M508" t="inlineStr">
        <is>
          <t>matches_completely</t>
        </is>
      </c>
      <c r="N508" t="n">
        <v>5</v>
      </c>
      <c r="O508" t="inlineStr">
        <is>
          <t>yes</t>
        </is>
      </c>
      <c r="Q508" t="inlineStr">
        <is>
          <t>correct</t>
        </is>
      </c>
      <c r="R508" t="inlineStr">
        <is>
          <t>correct</t>
        </is>
      </c>
      <c r="S508" t="inlineStr">
        <is>
          <t>matches_completely</t>
        </is>
      </c>
      <c r="T508" t="inlineStr">
        <is>
          <t>correct</t>
        </is>
      </c>
      <c r="U508">
        <f>IF(T508="correct",1,0)</f>
        <v/>
      </c>
      <c r="V508">
        <f>VLOOKUP(A508,Participants!$A$2:$B$86,2,FALSE)</f>
        <v/>
      </c>
    </row>
    <row r="509">
      <c r="A509" t="inlineStr">
        <is>
          <t>user_0205</t>
        </is>
      </c>
      <c r="B509" t="inlineStr">
        <is>
          <t>E5</t>
        </is>
      </c>
      <c r="C509" t="inlineStr">
        <is>
          <t>C1</t>
        </is>
      </c>
      <c r="D509" t="n">
        <v>3</v>
      </c>
      <c r="E509" t="inlineStr">
        <is>
          <t>2026-03-25T20:01:14.243360+00:00</t>
        </is>
      </c>
      <c r="F509" t="inlineStr">
        <is>
          <t>2026-03-25T20:01:14.268055+00:00</t>
        </is>
      </c>
      <c r="G509" t="n">
        <v>4</v>
      </c>
      <c r="H509" t="n">
        <v>120.85</v>
      </c>
      <c r="I509" t="n">
        <v>1</v>
      </c>
      <c r="J509" t="n">
        <v>1</v>
      </c>
      <c r="K509" t="n">
        <v>1</v>
      </c>
      <c r="M509" t="inlineStr">
        <is>
          <t>matches_completely</t>
        </is>
      </c>
      <c r="N509" t="n">
        <v>5</v>
      </c>
      <c r="O509" t="inlineStr">
        <is>
          <t>yes</t>
        </is>
      </c>
      <c r="Q509" t="inlineStr">
        <is>
          <t>correct</t>
        </is>
      </c>
      <c r="R509" t="inlineStr">
        <is>
          <t>correct</t>
        </is>
      </c>
      <c r="S509" t="inlineStr">
        <is>
          <t>matches_completely</t>
        </is>
      </c>
      <c r="T509" t="inlineStr">
        <is>
          <t>correct</t>
        </is>
      </c>
      <c r="U509">
        <f>IF(T509="correct",1,0)</f>
        <v/>
      </c>
      <c r="V509">
        <f>VLOOKUP(A509,Participants!$A$2:$B$86,2,FALSE)</f>
        <v/>
      </c>
    </row>
    <row r="510">
      <c r="A510" t="inlineStr">
        <is>
          <t>user_0205</t>
        </is>
      </c>
      <c r="B510" t="inlineStr">
        <is>
          <t>E4</t>
        </is>
      </c>
      <c r="C510" t="inlineStr">
        <is>
          <t>C2</t>
        </is>
      </c>
      <c r="D510" t="n">
        <v>4</v>
      </c>
      <c r="E510" t="inlineStr">
        <is>
          <t>2026-03-25T20:13:27.656172+00:00</t>
        </is>
      </c>
      <c r="F510" t="inlineStr">
        <is>
          <t>2026-03-25T20:13:27.688340+00:00</t>
        </is>
      </c>
      <c r="G510" t="n">
        <v>12</v>
      </c>
      <c r="H510" t="n">
        <v>687.4</v>
      </c>
      <c r="I510" t="n">
        <v>3</v>
      </c>
      <c r="J510" t="n">
        <v>1</v>
      </c>
      <c r="K510" t="n">
        <v>1</v>
      </c>
      <c r="M510" t="inlineStr">
        <is>
          <t>matches_completely</t>
        </is>
      </c>
      <c r="N510" t="n">
        <v>5</v>
      </c>
      <c r="O510" t="inlineStr">
        <is>
          <t>yes</t>
        </is>
      </c>
      <c r="Q510" t="inlineStr">
        <is>
          <t>correct</t>
        </is>
      </c>
      <c r="R510" t="inlineStr">
        <is>
          <t>correct</t>
        </is>
      </c>
      <c r="S510" t="inlineStr">
        <is>
          <t>matches_completely</t>
        </is>
      </c>
      <c r="T510" t="inlineStr">
        <is>
          <t>correct</t>
        </is>
      </c>
      <c r="U510">
        <f>IF(T510="correct",1,0)</f>
        <v/>
      </c>
      <c r="V510">
        <f>VLOOKUP(A510,Participants!$A$2:$B$86,2,FALSE)</f>
        <v/>
      </c>
    </row>
    <row r="511">
      <c r="A511" t="inlineStr">
        <is>
          <t>user_0205</t>
        </is>
      </c>
      <c r="B511" t="inlineStr">
        <is>
          <t>E6</t>
        </is>
      </c>
      <c r="C511" t="inlineStr">
        <is>
          <t>C3</t>
        </is>
      </c>
      <c r="D511" t="n">
        <v>5</v>
      </c>
      <c r="E511" t="inlineStr">
        <is>
          <t>2026-03-25T20:17:38.209529+00:00</t>
        </is>
      </c>
      <c r="F511" t="inlineStr">
        <is>
          <t>2026-03-25T20:17:38.232731+00:00</t>
        </is>
      </c>
      <c r="G511" t="n">
        <v>7</v>
      </c>
      <c r="H511" t="n">
        <v>266.78</v>
      </c>
      <c r="I511" t="n">
        <v>2</v>
      </c>
      <c r="J511" t="n">
        <v>1</v>
      </c>
      <c r="K511" t="n">
        <v>1</v>
      </c>
      <c r="M511" t="inlineStr">
        <is>
          <t>matches_completely</t>
        </is>
      </c>
      <c r="N511" t="n">
        <v>5</v>
      </c>
      <c r="O511" t="inlineStr">
        <is>
          <t>yes</t>
        </is>
      </c>
      <c r="Q511" t="inlineStr">
        <is>
          <t>correct</t>
        </is>
      </c>
      <c r="R511" t="inlineStr">
        <is>
          <t>correct</t>
        </is>
      </c>
      <c r="S511" t="inlineStr">
        <is>
          <t>matches_completely</t>
        </is>
      </c>
      <c r="T511" t="inlineStr">
        <is>
          <t>correct</t>
        </is>
      </c>
      <c r="U511">
        <f>IF(T511="correct",1,0)</f>
        <v/>
      </c>
      <c r="V511">
        <f>VLOOKUP(A511,Participants!$A$2:$B$86,2,FALSE)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8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2" t="inlineStr">
        <is>
          <t>participant_id</t>
        </is>
      </c>
      <c r="B1" s="2" t="inlineStr">
        <is>
          <t>user_type</t>
        </is>
      </c>
      <c r="C1" s="2" t="inlineStr">
        <is>
          <t>sus_score</t>
        </is>
      </c>
      <c r="D1" s="2" t="inlineStr">
        <is>
          <t>tlx_overall</t>
        </is>
      </c>
      <c r="E1" s="2" t="inlineStr">
        <is>
          <t>tlx_mental</t>
        </is>
      </c>
      <c r="F1" s="2" t="inlineStr">
        <is>
          <t>tlx_temporal</t>
        </is>
      </c>
      <c r="G1" s="2" t="inlineStr">
        <is>
          <t>tlx_performance</t>
        </is>
      </c>
      <c r="H1" s="2" t="inlineStr">
        <is>
          <t>tlx_effort</t>
        </is>
      </c>
      <c r="I1" s="2" t="inlineStr">
        <is>
          <t>tlx_frustration</t>
        </is>
      </c>
      <c r="J1" s="2" t="inlineStr">
        <is>
          <t>toast_understanding</t>
        </is>
      </c>
      <c r="K1" s="2" t="inlineStr">
        <is>
          <t>toast_performance</t>
        </is>
      </c>
      <c r="L1" s="2" t="inlineStr">
        <is>
          <t>toast_overall</t>
        </is>
      </c>
      <c r="M1" s="2" t="inlineStr">
        <is>
          <t>avg_time_s</t>
        </is>
      </c>
      <c r="N1" s="2" t="inlineStr">
        <is>
          <t>success_rate</t>
        </is>
      </c>
      <c r="O1" s="2" t="inlineStr">
        <is>
          <t>avg_attempts</t>
        </is>
      </c>
      <c r="P1" s="2" t="inlineStr">
        <is>
          <t>rank_sus</t>
        </is>
      </c>
      <c r="Q1" s="2" t="inlineStr">
        <is>
          <t>rank_tlx</t>
        </is>
      </c>
      <c r="R1" s="2" t="inlineStr">
        <is>
          <t>rank_toast</t>
        </is>
      </c>
      <c r="S1" s="2" t="inlineStr">
        <is>
          <t>rank_time</t>
        </is>
      </c>
    </row>
    <row r="2">
      <c r="A2" t="inlineStr">
        <is>
          <t>user_0001</t>
        </is>
      </c>
      <c r="B2">
        <f>VLOOKUP(A2,Participants!$A$2:$B$86,2,FALSE)</f>
        <v/>
      </c>
      <c r="C2">
        <f>AVERAGEIFS(SUS!$W$2:$W$86,SUS!$A$2:$A$86,A2)</f>
        <v/>
      </c>
      <c r="D2">
        <f>AVERAGEIFS(TLX!$H$2:$H$86,TLX!$A$2:$A$86,A2)</f>
        <v/>
      </c>
      <c r="E2">
        <f>AVERAGEIFS(TLX!$B$2:$B$86,TLX!$A$2:$A$86,A2)</f>
        <v/>
      </c>
      <c r="F2">
        <f>AVERAGEIFS(TLX!$D$2:$D$86,TLX!$A$2:$A$86,A2)</f>
        <v/>
      </c>
      <c r="G2">
        <f>AVERAGEIFS(TLX!$E$2:$E$86,TLX!$A$2:$A$86,A2)</f>
        <v/>
      </c>
      <c r="H2">
        <f>AVERAGEIFS(TLX!$F$2:$F$86,TLX!$A$2:$A$86,A2)</f>
        <v/>
      </c>
      <c r="I2">
        <f>AVERAGEIFS(TLX!$G$2:$G$86,TLX!$A$2:$A$86,A2)</f>
        <v/>
      </c>
      <c r="J2">
        <f>IFERROR(AVERAGEIFS(TOAST!$K$2:$K$86,TOAST!$A$2:$A$86,A2),NA())</f>
        <v/>
      </c>
      <c r="K2">
        <f>IFERROR(AVERAGEIFS(TOAST!$L$2:$L$86,TOAST!$A$2:$A$86,A2),NA())</f>
        <v/>
      </c>
      <c r="L2">
        <f>IFERROR(AVERAGEIFS(TOAST!$M$2:$M$86,TOAST!$A$2:$A$86,A2),NA())</f>
        <v/>
      </c>
      <c r="M2">
        <f>AVERAGEIFS(Sessions!$H$2:$H$511,Sessions!$A$2:$A$511,A2)</f>
        <v/>
      </c>
      <c r="N2">
        <f>AVERAGEIFS(Sessions!$U$2:$U$511,Sessions!$A$2:$A$511,A2)</f>
        <v/>
      </c>
      <c r="O2">
        <f>AVERAGEIFS(Sessions!$I$2:$I$511,Sessions!$A$2:$A$511,A2)</f>
        <v/>
      </c>
      <c r="P2">
        <f>_xlfn.RANK.AVG(C2,$C$2:$C$86,1)</f>
        <v/>
      </c>
      <c r="Q2">
        <f>_xlfn.RANK.AVG(D2,$D$2:$D$86,1)</f>
        <v/>
      </c>
      <c r="R2">
        <f>_xlfn.RANK.AVG(L2,$L$2:$L$86,1)</f>
        <v/>
      </c>
      <c r="S2">
        <f>_xlfn.RANK.AVG(M2,$M$2:$M$86,1)</f>
        <v/>
      </c>
    </row>
    <row r="3">
      <c r="A3" t="inlineStr">
        <is>
          <t>user_0002</t>
        </is>
      </c>
      <c r="B3">
        <f>VLOOKUP(A3,Participants!$A$2:$B$86,2,FALSE)</f>
        <v/>
      </c>
      <c r="C3">
        <f>AVERAGEIFS(SUS!$W$2:$W$86,SUS!$A$2:$A$86,A3)</f>
        <v/>
      </c>
      <c r="D3">
        <f>AVERAGEIFS(TLX!$H$2:$H$86,TLX!$A$2:$A$86,A3)</f>
        <v/>
      </c>
      <c r="E3">
        <f>AVERAGEIFS(TLX!$B$2:$B$86,TLX!$A$2:$A$86,A3)</f>
        <v/>
      </c>
      <c r="F3">
        <f>AVERAGEIFS(TLX!$D$2:$D$86,TLX!$A$2:$A$86,A3)</f>
        <v/>
      </c>
      <c r="G3">
        <f>AVERAGEIFS(TLX!$E$2:$E$86,TLX!$A$2:$A$86,A3)</f>
        <v/>
      </c>
      <c r="H3">
        <f>AVERAGEIFS(TLX!$F$2:$F$86,TLX!$A$2:$A$86,A3)</f>
        <v/>
      </c>
      <c r="I3">
        <f>AVERAGEIFS(TLX!$G$2:$G$86,TLX!$A$2:$A$86,A3)</f>
        <v/>
      </c>
      <c r="J3">
        <f>IFERROR(AVERAGEIFS(TOAST!$K$2:$K$86,TOAST!$A$2:$A$86,A3),NA())</f>
        <v/>
      </c>
      <c r="K3">
        <f>IFERROR(AVERAGEIFS(TOAST!$L$2:$L$86,TOAST!$A$2:$A$86,A3),NA())</f>
        <v/>
      </c>
      <c r="L3">
        <f>IFERROR(AVERAGEIFS(TOAST!$M$2:$M$86,TOAST!$A$2:$A$86,A3),NA())</f>
        <v/>
      </c>
      <c r="M3">
        <f>AVERAGEIFS(Sessions!$H$2:$H$511,Sessions!$A$2:$A$511,A3)</f>
        <v/>
      </c>
      <c r="N3">
        <f>AVERAGEIFS(Sessions!$U$2:$U$511,Sessions!$A$2:$A$511,A3)</f>
        <v/>
      </c>
      <c r="O3">
        <f>AVERAGEIFS(Sessions!$I$2:$I$511,Sessions!$A$2:$A$511,A3)</f>
        <v/>
      </c>
      <c r="P3">
        <f>_xlfn.RANK.AVG(C3,$C$2:$C$86,1)</f>
        <v/>
      </c>
      <c r="Q3">
        <f>_xlfn.RANK.AVG(D3,$D$2:$D$86,1)</f>
        <v/>
      </c>
      <c r="R3">
        <f>_xlfn.RANK.AVG(L3,$L$2:$L$86,1)</f>
        <v/>
      </c>
      <c r="S3">
        <f>_xlfn.RANK.AVG(M3,$M$2:$M$86,1)</f>
        <v/>
      </c>
    </row>
    <row r="4">
      <c r="A4" t="inlineStr">
        <is>
          <t>user_0003</t>
        </is>
      </c>
      <c r="B4">
        <f>VLOOKUP(A4,Participants!$A$2:$B$86,2,FALSE)</f>
        <v/>
      </c>
      <c r="C4">
        <f>AVERAGEIFS(SUS!$W$2:$W$86,SUS!$A$2:$A$86,A4)</f>
        <v/>
      </c>
      <c r="D4">
        <f>AVERAGEIFS(TLX!$H$2:$H$86,TLX!$A$2:$A$86,A4)</f>
        <v/>
      </c>
      <c r="E4">
        <f>AVERAGEIFS(TLX!$B$2:$B$86,TLX!$A$2:$A$86,A4)</f>
        <v/>
      </c>
      <c r="F4">
        <f>AVERAGEIFS(TLX!$D$2:$D$86,TLX!$A$2:$A$86,A4)</f>
        <v/>
      </c>
      <c r="G4">
        <f>AVERAGEIFS(TLX!$E$2:$E$86,TLX!$A$2:$A$86,A4)</f>
        <v/>
      </c>
      <c r="H4">
        <f>AVERAGEIFS(TLX!$F$2:$F$86,TLX!$A$2:$A$86,A4)</f>
        <v/>
      </c>
      <c r="I4">
        <f>AVERAGEIFS(TLX!$G$2:$G$86,TLX!$A$2:$A$86,A4)</f>
        <v/>
      </c>
      <c r="J4">
        <f>IFERROR(AVERAGEIFS(TOAST!$K$2:$K$86,TOAST!$A$2:$A$86,A4),NA())</f>
        <v/>
      </c>
      <c r="K4">
        <f>IFERROR(AVERAGEIFS(TOAST!$L$2:$L$86,TOAST!$A$2:$A$86,A4),NA())</f>
        <v/>
      </c>
      <c r="L4">
        <f>IFERROR(AVERAGEIFS(TOAST!$M$2:$M$86,TOAST!$A$2:$A$86,A4),NA())</f>
        <v/>
      </c>
      <c r="M4">
        <f>AVERAGEIFS(Sessions!$H$2:$H$511,Sessions!$A$2:$A$511,A4)</f>
        <v/>
      </c>
      <c r="N4">
        <f>AVERAGEIFS(Sessions!$U$2:$U$511,Sessions!$A$2:$A$511,A4)</f>
        <v/>
      </c>
      <c r="O4">
        <f>AVERAGEIFS(Sessions!$I$2:$I$511,Sessions!$A$2:$A$511,A4)</f>
        <v/>
      </c>
      <c r="P4">
        <f>_xlfn.RANK.AVG(C4,$C$2:$C$86,1)</f>
        <v/>
      </c>
      <c r="Q4">
        <f>_xlfn.RANK.AVG(D4,$D$2:$D$86,1)</f>
        <v/>
      </c>
      <c r="R4">
        <f>_xlfn.RANK.AVG(L4,$L$2:$L$86,1)</f>
        <v/>
      </c>
      <c r="S4">
        <f>_xlfn.RANK.AVG(M4,$M$2:$M$86,1)</f>
        <v/>
      </c>
    </row>
    <row r="5">
      <c r="A5" t="inlineStr">
        <is>
          <t>user_0004</t>
        </is>
      </c>
      <c r="B5">
        <f>VLOOKUP(A5,Participants!$A$2:$B$86,2,FALSE)</f>
        <v/>
      </c>
      <c r="C5">
        <f>AVERAGEIFS(SUS!$W$2:$W$86,SUS!$A$2:$A$86,A5)</f>
        <v/>
      </c>
      <c r="D5">
        <f>AVERAGEIFS(TLX!$H$2:$H$86,TLX!$A$2:$A$86,A5)</f>
        <v/>
      </c>
      <c r="E5">
        <f>AVERAGEIFS(TLX!$B$2:$B$86,TLX!$A$2:$A$86,A5)</f>
        <v/>
      </c>
      <c r="F5">
        <f>AVERAGEIFS(TLX!$D$2:$D$86,TLX!$A$2:$A$86,A5)</f>
        <v/>
      </c>
      <c r="G5">
        <f>AVERAGEIFS(TLX!$E$2:$E$86,TLX!$A$2:$A$86,A5)</f>
        <v/>
      </c>
      <c r="H5">
        <f>AVERAGEIFS(TLX!$F$2:$F$86,TLX!$A$2:$A$86,A5)</f>
        <v/>
      </c>
      <c r="I5">
        <f>AVERAGEIFS(TLX!$G$2:$G$86,TLX!$A$2:$A$86,A5)</f>
        <v/>
      </c>
      <c r="J5">
        <f>IFERROR(AVERAGEIFS(TOAST!$K$2:$K$86,TOAST!$A$2:$A$86,A5),NA())</f>
        <v/>
      </c>
      <c r="K5">
        <f>IFERROR(AVERAGEIFS(TOAST!$L$2:$L$86,TOAST!$A$2:$A$86,A5),NA())</f>
        <v/>
      </c>
      <c r="L5">
        <f>IFERROR(AVERAGEIFS(TOAST!$M$2:$M$86,TOAST!$A$2:$A$86,A5),NA())</f>
        <v/>
      </c>
      <c r="M5">
        <f>AVERAGEIFS(Sessions!$H$2:$H$511,Sessions!$A$2:$A$511,A5)</f>
        <v/>
      </c>
      <c r="N5">
        <f>AVERAGEIFS(Sessions!$U$2:$U$511,Sessions!$A$2:$A$511,A5)</f>
        <v/>
      </c>
      <c r="O5">
        <f>AVERAGEIFS(Sessions!$I$2:$I$511,Sessions!$A$2:$A$511,A5)</f>
        <v/>
      </c>
      <c r="P5">
        <f>_xlfn.RANK.AVG(C5,$C$2:$C$86,1)</f>
        <v/>
      </c>
      <c r="Q5">
        <f>_xlfn.RANK.AVG(D5,$D$2:$D$86,1)</f>
        <v/>
      </c>
      <c r="R5">
        <f>_xlfn.RANK.AVG(L5,$L$2:$L$86,1)</f>
        <v/>
      </c>
      <c r="S5">
        <f>_xlfn.RANK.AVG(M5,$M$2:$M$86,1)</f>
        <v/>
      </c>
    </row>
    <row r="6">
      <c r="A6" t="inlineStr">
        <is>
          <t>user_0005</t>
        </is>
      </c>
      <c r="B6">
        <f>VLOOKUP(A6,Participants!$A$2:$B$86,2,FALSE)</f>
        <v/>
      </c>
      <c r="C6">
        <f>AVERAGEIFS(SUS!$W$2:$W$86,SUS!$A$2:$A$86,A6)</f>
        <v/>
      </c>
      <c r="D6">
        <f>AVERAGEIFS(TLX!$H$2:$H$86,TLX!$A$2:$A$86,A6)</f>
        <v/>
      </c>
      <c r="E6">
        <f>AVERAGEIFS(TLX!$B$2:$B$86,TLX!$A$2:$A$86,A6)</f>
        <v/>
      </c>
      <c r="F6">
        <f>AVERAGEIFS(TLX!$D$2:$D$86,TLX!$A$2:$A$86,A6)</f>
        <v/>
      </c>
      <c r="G6">
        <f>AVERAGEIFS(TLX!$E$2:$E$86,TLX!$A$2:$A$86,A6)</f>
        <v/>
      </c>
      <c r="H6">
        <f>AVERAGEIFS(TLX!$F$2:$F$86,TLX!$A$2:$A$86,A6)</f>
        <v/>
      </c>
      <c r="I6">
        <f>AVERAGEIFS(TLX!$G$2:$G$86,TLX!$A$2:$A$86,A6)</f>
        <v/>
      </c>
      <c r="J6">
        <f>IFERROR(AVERAGEIFS(TOAST!$K$2:$K$86,TOAST!$A$2:$A$86,A6),NA())</f>
        <v/>
      </c>
      <c r="K6">
        <f>IFERROR(AVERAGEIFS(TOAST!$L$2:$L$86,TOAST!$A$2:$A$86,A6),NA())</f>
        <v/>
      </c>
      <c r="L6">
        <f>IFERROR(AVERAGEIFS(TOAST!$M$2:$M$86,TOAST!$A$2:$A$86,A6),NA())</f>
        <v/>
      </c>
      <c r="M6">
        <f>AVERAGEIFS(Sessions!$H$2:$H$511,Sessions!$A$2:$A$511,A6)</f>
        <v/>
      </c>
      <c r="N6">
        <f>AVERAGEIFS(Sessions!$U$2:$U$511,Sessions!$A$2:$A$511,A6)</f>
        <v/>
      </c>
      <c r="O6">
        <f>AVERAGEIFS(Sessions!$I$2:$I$511,Sessions!$A$2:$A$511,A6)</f>
        <v/>
      </c>
      <c r="P6">
        <f>_xlfn.RANK.AVG(C6,$C$2:$C$86,1)</f>
        <v/>
      </c>
      <c r="Q6">
        <f>_xlfn.RANK.AVG(D6,$D$2:$D$86,1)</f>
        <v/>
      </c>
      <c r="R6">
        <f>_xlfn.RANK.AVG(L6,$L$2:$L$86,1)</f>
        <v/>
      </c>
      <c r="S6">
        <f>_xlfn.RANK.AVG(M6,$M$2:$M$86,1)</f>
        <v/>
      </c>
    </row>
    <row r="7">
      <c r="A7" t="inlineStr">
        <is>
          <t>user_0006</t>
        </is>
      </c>
      <c r="B7">
        <f>VLOOKUP(A7,Participants!$A$2:$B$86,2,FALSE)</f>
        <v/>
      </c>
      <c r="C7">
        <f>AVERAGEIFS(SUS!$W$2:$W$86,SUS!$A$2:$A$86,A7)</f>
        <v/>
      </c>
      <c r="D7">
        <f>AVERAGEIFS(TLX!$H$2:$H$86,TLX!$A$2:$A$86,A7)</f>
        <v/>
      </c>
      <c r="E7">
        <f>AVERAGEIFS(TLX!$B$2:$B$86,TLX!$A$2:$A$86,A7)</f>
        <v/>
      </c>
      <c r="F7">
        <f>AVERAGEIFS(TLX!$D$2:$D$86,TLX!$A$2:$A$86,A7)</f>
        <v/>
      </c>
      <c r="G7">
        <f>AVERAGEIFS(TLX!$E$2:$E$86,TLX!$A$2:$A$86,A7)</f>
        <v/>
      </c>
      <c r="H7">
        <f>AVERAGEIFS(TLX!$F$2:$F$86,TLX!$A$2:$A$86,A7)</f>
        <v/>
      </c>
      <c r="I7">
        <f>AVERAGEIFS(TLX!$G$2:$G$86,TLX!$A$2:$A$86,A7)</f>
        <v/>
      </c>
      <c r="J7">
        <f>IFERROR(AVERAGEIFS(TOAST!$K$2:$K$86,TOAST!$A$2:$A$86,A7),NA())</f>
        <v/>
      </c>
      <c r="K7">
        <f>IFERROR(AVERAGEIFS(TOAST!$L$2:$L$86,TOAST!$A$2:$A$86,A7),NA())</f>
        <v/>
      </c>
      <c r="L7">
        <f>IFERROR(AVERAGEIFS(TOAST!$M$2:$M$86,TOAST!$A$2:$A$86,A7),NA())</f>
        <v/>
      </c>
      <c r="M7">
        <f>AVERAGEIFS(Sessions!$H$2:$H$511,Sessions!$A$2:$A$511,A7)</f>
        <v/>
      </c>
      <c r="N7">
        <f>AVERAGEIFS(Sessions!$U$2:$U$511,Sessions!$A$2:$A$511,A7)</f>
        <v/>
      </c>
      <c r="O7">
        <f>AVERAGEIFS(Sessions!$I$2:$I$511,Sessions!$A$2:$A$511,A7)</f>
        <v/>
      </c>
      <c r="P7">
        <f>_xlfn.RANK.AVG(C7,$C$2:$C$86,1)</f>
        <v/>
      </c>
      <c r="Q7">
        <f>_xlfn.RANK.AVG(D7,$D$2:$D$86,1)</f>
        <v/>
      </c>
      <c r="R7">
        <f>_xlfn.RANK.AVG(L7,$L$2:$L$86,1)</f>
        <v/>
      </c>
      <c r="S7">
        <f>_xlfn.RANK.AVG(M7,$M$2:$M$86,1)</f>
        <v/>
      </c>
    </row>
    <row r="8">
      <c r="A8" t="inlineStr">
        <is>
          <t>user_0007</t>
        </is>
      </c>
      <c r="B8">
        <f>VLOOKUP(A8,Participants!$A$2:$B$86,2,FALSE)</f>
        <v/>
      </c>
      <c r="C8">
        <f>AVERAGEIFS(SUS!$W$2:$W$86,SUS!$A$2:$A$86,A8)</f>
        <v/>
      </c>
      <c r="D8">
        <f>AVERAGEIFS(TLX!$H$2:$H$86,TLX!$A$2:$A$86,A8)</f>
        <v/>
      </c>
      <c r="E8">
        <f>AVERAGEIFS(TLX!$B$2:$B$86,TLX!$A$2:$A$86,A8)</f>
        <v/>
      </c>
      <c r="F8">
        <f>AVERAGEIFS(TLX!$D$2:$D$86,TLX!$A$2:$A$86,A8)</f>
        <v/>
      </c>
      <c r="G8">
        <f>AVERAGEIFS(TLX!$E$2:$E$86,TLX!$A$2:$A$86,A8)</f>
        <v/>
      </c>
      <c r="H8">
        <f>AVERAGEIFS(TLX!$F$2:$F$86,TLX!$A$2:$A$86,A8)</f>
        <v/>
      </c>
      <c r="I8">
        <f>AVERAGEIFS(TLX!$G$2:$G$86,TLX!$A$2:$A$86,A8)</f>
        <v/>
      </c>
      <c r="J8">
        <f>IFERROR(AVERAGEIFS(TOAST!$K$2:$K$86,TOAST!$A$2:$A$86,A8),NA())</f>
        <v/>
      </c>
      <c r="K8">
        <f>IFERROR(AVERAGEIFS(TOAST!$L$2:$L$86,TOAST!$A$2:$A$86,A8),NA())</f>
        <v/>
      </c>
      <c r="L8">
        <f>IFERROR(AVERAGEIFS(TOAST!$M$2:$M$86,TOAST!$A$2:$A$86,A8),NA())</f>
        <v/>
      </c>
      <c r="M8">
        <f>AVERAGEIFS(Sessions!$H$2:$H$511,Sessions!$A$2:$A$511,A8)</f>
        <v/>
      </c>
      <c r="N8">
        <f>AVERAGEIFS(Sessions!$U$2:$U$511,Sessions!$A$2:$A$511,A8)</f>
        <v/>
      </c>
      <c r="O8">
        <f>AVERAGEIFS(Sessions!$I$2:$I$511,Sessions!$A$2:$A$511,A8)</f>
        <v/>
      </c>
      <c r="P8">
        <f>_xlfn.RANK.AVG(C8,$C$2:$C$86,1)</f>
        <v/>
      </c>
      <c r="Q8">
        <f>_xlfn.RANK.AVG(D8,$D$2:$D$86,1)</f>
        <v/>
      </c>
      <c r="R8">
        <f>_xlfn.RANK.AVG(L8,$L$2:$L$86,1)</f>
        <v/>
      </c>
      <c r="S8">
        <f>_xlfn.RANK.AVG(M8,$M$2:$M$86,1)</f>
        <v/>
      </c>
    </row>
    <row r="9">
      <c r="A9" t="inlineStr">
        <is>
          <t>user_0008</t>
        </is>
      </c>
      <c r="B9">
        <f>VLOOKUP(A9,Participants!$A$2:$B$86,2,FALSE)</f>
        <v/>
      </c>
      <c r="C9">
        <f>AVERAGEIFS(SUS!$W$2:$W$86,SUS!$A$2:$A$86,A9)</f>
        <v/>
      </c>
      <c r="D9">
        <f>AVERAGEIFS(TLX!$H$2:$H$86,TLX!$A$2:$A$86,A9)</f>
        <v/>
      </c>
      <c r="E9">
        <f>AVERAGEIFS(TLX!$B$2:$B$86,TLX!$A$2:$A$86,A9)</f>
        <v/>
      </c>
      <c r="F9">
        <f>AVERAGEIFS(TLX!$D$2:$D$86,TLX!$A$2:$A$86,A9)</f>
        <v/>
      </c>
      <c r="G9">
        <f>AVERAGEIFS(TLX!$E$2:$E$86,TLX!$A$2:$A$86,A9)</f>
        <v/>
      </c>
      <c r="H9">
        <f>AVERAGEIFS(TLX!$F$2:$F$86,TLX!$A$2:$A$86,A9)</f>
        <v/>
      </c>
      <c r="I9">
        <f>AVERAGEIFS(TLX!$G$2:$G$86,TLX!$A$2:$A$86,A9)</f>
        <v/>
      </c>
      <c r="J9">
        <f>IFERROR(AVERAGEIFS(TOAST!$K$2:$K$86,TOAST!$A$2:$A$86,A9),NA())</f>
        <v/>
      </c>
      <c r="K9">
        <f>IFERROR(AVERAGEIFS(TOAST!$L$2:$L$86,TOAST!$A$2:$A$86,A9),NA())</f>
        <v/>
      </c>
      <c r="L9">
        <f>IFERROR(AVERAGEIFS(TOAST!$M$2:$M$86,TOAST!$A$2:$A$86,A9),NA())</f>
        <v/>
      </c>
      <c r="M9">
        <f>AVERAGEIFS(Sessions!$H$2:$H$511,Sessions!$A$2:$A$511,A9)</f>
        <v/>
      </c>
      <c r="N9">
        <f>AVERAGEIFS(Sessions!$U$2:$U$511,Sessions!$A$2:$A$511,A9)</f>
        <v/>
      </c>
      <c r="O9">
        <f>AVERAGEIFS(Sessions!$I$2:$I$511,Sessions!$A$2:$A$511,A9)</f>
        <v/>
      </c>
      <c r="P9">
        <f>_xlfn.RANK.AVG(C9,$C$2:$C$86,1)</f>
        <v/>
      </c>
      <c r="Q9">
        <f>_xlfn.RANK.AVG(D9,$D$2:$D$86,1)</f>
        <v/>
      </c>
      <c r="R9">
        <f>_xlfn.RANK.AVG(L9,$L$2:$L$86,1)</f>
        <v/>
      </c>
      <c r="S9">
        <f>_xlfn.RANK.AVG(M9,$M$2:$M$86,1)</f>
        <v/>
      </c>
    </row>
    <row r="10">
      <c r="A10" t="inlineStr">
        <is>
          <t>user_0009</t>
        </is>
      </c>
      <c r="B10">
        <f>VLOOKUP(A10,Participants!$A$2:$B$86,2,FALSE)</f>
        <v/>
      </c>
      <c r="C10">
        <f>AVERAGEIFS(SUS!$W$2:$W$86,SUS!$A$2:$A$86,A10)</f>
        <v/>
      </c>
      <c r="D10">
        <f>AVERAGEIFS(TLX!$H$2:$H$86,TLX!$A$2:$A$86,A10)</f>
        <v/>
      </c>
      <c r="E10">
        <f>AVERAGEIFS(TLX!$B$2:$B$86,TLX!$A$2:$A$86,A10)</f>
        <v/>
      </c>
      <c r="F10">
        <f>AVERAGEIFS(TLX!$D$2:$D$86,TLX!$A$2:$A$86,A10)</f>
        <v/>
      </c>
      <c r="G10">
        <f>AVERAGEIFS(TLX!$E$2:$E$86,TLX!$A$2:$A$86,A10)</f>
        <v/>
      </c>
      <c r="H10">
        <f>AVERAGEIFS(TLX!$F$2:$F$86,TLX!$A$2:$A$86,A10)</f>
        <v/>
      </c>
      <c r="I10">
        <f>AVERAGEIFS(TLX!$G$2:$G$86,TLX!$A$2:$A$86,A10)</f>
        <v/>
      </c>
      <c r="J10">
        <f>IFERROR(AVERAGEIFS(TOAST!$K$2:$K$86,TOAST!$A$2:$A$86,A10),NA())</f>
        <v/>
      </c>
      <c r="K10">
        <f>IFERROR(AVERAGEIFS(TOAST!$L$2:$L$86,TOAST!$A$2:$A$86,A10),NA())</f>
        <v/>
      </c>
      <c r="L10">
        <f>IFERROR(AVERAGEIFS(TOAST!$M$2:$M$86,TOAST!$A$2:$A$86,A10),NA())</f>
        <v/>
      </c>
      <c r="M10">
        <f>AVERAGEIFS(Sessions!$H$2:$H$511,Sessions!$A$2:$A$511,A10)</f>
        <v/>
      </c>
      <c r="N10">
        <f>AVERAGEIFS(Sessions!$U$2:$U$511,Sessions!$A$2:$A$511,A10)</f>
        <v/>
      </c>
      <c r="O10">
        <f>AVERAGEIFS(Sessions!$I$2:$I$511,Sessions!$A$2:$A$511,A10)</f>
        <v/>
      </c>
      <c r="P10">
        <f>_xlfn.RANK.AVG(C10,$C$2:$C$86,1)</f>
        <v/>
      </c>
      <c r="Q10">
        <f>_xlfn.RANK.AVG(D10,$D$2:$D$86,1)</f>
        <v/>
      </c>
      <c r="R10">
        <f>_xlfn.RANK.AVG(L10,$L$2:$L$86,1)</f>
        <v/>
      </c>
      <c r="S10">
        <f>_xlfn.RANK.AVG(M10,$M$2:$M$86,1)</f>
        <v/>
      </c>
    </row>
    <row r="11">
      <c r="A11" t="inlineStr">
        <is>
          <t>user_0010</t>
        </is>
      </c>
      <c r="B11">
        <f>VLOOKUP(A11,Participants!$A$2:$B$86,2,FALSE)</f>
        <v/>
      </c>
      <c r="C11">
        <f>AVERAGEIFS(SUS!$W$2:$W$86,SUS!$A$2:$A$86,A11)</f>
        <v/>
      </c>
      <c r="D11">
        <f>AVERAGEIFS(TLX!$H$2:$H$86,TLX!$A$2:$A$86,A11)</f>
        <v/>
      </c>
      <c r="E11">
        <f>AVERAGEIFS(TLX!$B$2:$B$86,TLX!$A$2:$A$86,A11)</f>
        <v/>
      </c>
      <c r="F11">
        <f>AVERAGEIFS(TLX!$D$2:$D$86,TLX!$A$2:$A$86,A11)</f>
        <v/>
      </c>
      <c r="G11">
        <f>AVERAGEIFS(TLX!$E$2:$E$86,TLX!$A$2:$A$86,A11)</f>
        <v/>
      </c>
      <c r="H11">
        <f>AVERAGEIFS(TLX!$F$2:$F$86,TLX!$A$2:$A$86,A11)</f>
        <v/>
      </c>
      <c r="I11">
        <f>AVERAGEIFS(TLX!$G$2:$G$86,TLX!$A$2:$A$86,A11)</f>
        <v/>
      </c>
      <c r="J11">
        <f>IFERROR(AVERAGEIFS(TOAST!$K$2:$K$86,TOAST!$A$2:$A$86,A11),NA())</f>
        <v/>
      </c>
      <c r="K11">
        <f>IFERROR(AVERAGEIFS(TOAST!$L$2:$L$86,TOAST!$A$2:$A$86,A11),NA())</f>
        <v/>
      </c>
      <c r="L11">
        <f>IFERROR(AVERAGEIFS(TOAST!$M$2:$M$86,TOAST!$A$2:$A$86,A11),NA())</f>
        <v/>
      </c>
      <c r="M11">
        <f>AVERAGEIFS(Sessions!$H$2:$H$511,Sessions!$A$2:$A$511,A11)</f>
        <v/>
      </c>
      <c r="N11">
        <f>AVERAGEIFS(Sessions!$U$2:$U$511,Sessions!$A$2:$A$511,A11)</f>
        <v/>
      </c>
      <c r="O11">
        <f>AVERAGEIFS(Sessions!$I$2:$I$511,Sessions!$A$2:$A$511,A11)</f>
        <v/>
      </c>
      <c r="P11">
        <f>_xlfn.RANK.AVG(C11,$C$2:$C$86,1)</f>
        <v/>
      </c>
      <c r="Q11">
        <f>_xlfn.RANK.AVG(D11,$D$2:$D$86,1)</f>
        <v/>
      </c>
      <c r="R11">
        <f>_xlfn.RANK.AVG(L11,$L$2:$L$86,1)</f>
        <v/>
      </c>
      <c r="S11">
        <f>_xlfn.RANK.AVG(M11,$M$2:$M$86,1)</f>
        <v/>
      </c>
    </row>
    <row r="12">
      <c r="A12" t="inlineStr">
        <is>
          <t>user_0011</t>
        </is>
      </c>
      <c r="B12">
        <f>VLOOKUP(A12,Participants!$A$2:$B$86,2,FALSE)</f>
        <v/>
      </c>
      <c r="C12">
        <f>AVERAGEIFS(SUS!$W$2:$W$86,SUS!$A$2:$A$86,A12)</f>
        <v/>
      </c>
      <c r="D12">
        <f>AVERAGEIFS(TLX!$H$2:$H$86,TLX!$A$2:$A$86,A12)</f>
        <v/>
      </c>
      <c r="E12">
        <f>AVERAGEIFS(TLX!$B$2:$B$86,TLX!$A$2:$A$86,A12)</f>
        <v/>
      </c>
      <c r="F12">
        <f>AVERAGEIFS(TLX!$D$2:$D$86,TLX!$A$2:$A$86,A12)</f>
        <v/>
      </c>
      <c r="G12">
        <f>AVERAGEIFS(TLX!$E$2:$E$86,TLX!$A$2:$A$86,A12)</f>
        <v/>
      </c>
      <c r="H12">
        <f>AVERAGEIFS(TLX!$F$2:$F$86,TLX!$A$2:$A$86,A12)</f>
        <v/>
      </c>
      <c r="I12">
        <f>AVERAGEIFS(TLX!$G$2:$G$86,TLX!$A$2:$A$86,A12)</f>
        <v/>
      </c>
      <c r="J12">
        <f>IFERROR(AVERAGEIFS(TOAST!$K$2:$K$86,TOAST!$A$2:$A$86,A12),NA())</f>
        <v/>
      </c>
      <c r="K12">
        <f>IFERROR(AVERAGEIFS(TOAST!$L$2:$L$86,TOAST!$A$2:$A$86,A12),NA())</f>
        <v/>
      </c>
      <c r="L12">
        <f>IFERROR(AVERAGEIFS(TOAST!$M$2:$M$86,TOAST!$A$2:$A$86,A12),NA())</f>
        <v/>
      </c>
      <c r="M12">
        <f>AVERAGEIFS(Sessions!$H$2:$H$511,Sessions!$A$2:$A$511,A12)</f>
        <v/>
      </c>
      <c r="N12">
        <f>AVERAGEIFS(Sessions!$U$2:$U$511,Sessions!$A$2:$A$511,A12)</f>
        <v/>
      </c>
      <c r="O12">
        <f>AVERAGEIFS(Sessions!$I$2:$I$511,Sessions!$A$2:$A$511,A12)</f>
        <v/>
      </c>
      <c r="P12">
        <f>_xlfn.RANK.AVG(C12,$C$2:$C$86,1)</f>
        <v/>
      </c>
      <c r="Q12">
        <f>_xlfn.RANK.AVG(D12,$D$2:$D$86,1)</f>
        <v/>
      </c>
      <c r="R12">
        <f>_xlfn.RANK.AVG(L12,$L$2:$L$86,1)</f>
        <v/>
      </c>
      <c r="S12">
        <f>_xlfn.RANK.AVG(M12,$M$2:$M$86,1)</f>
        <v/>
      </c>
    </row>
    <row r="13">
      <c r="A13" t="inlineStr">
        <is>
          <t>user_0013</t>
        </is>
      </c>
      <c r="B13">
        <f>VLOOKUP(A13,Participants!$A$2:$B$86,2,FALSE)</f>
        <v/>
      </c>
      <c r="C13">
        <f>AVERAGEIFS(SUS!$W$2:$W$86,SUS!$A$2:$A$86,A13)</f>
        <v/>
      </c>
      <c r="D13">
        <f>AVERAGEIFS(TLX!$H$2:$H$86,TLX!$A$2:$A$86,A13)</f>
        <v/>
      </c>
      <c r="E13">
        <f>AVERAGEIFS(TLX!$B$2:$B$86,TLX!$A$2:$A$86,A13)</f>
        <v/>
      </c>
      <c r="F13">
        <f>AVERAGEIFS(TLX!$D$2:$D$86,TLX!$A$2:$A$86,A13)</f>
        <v/>
      </c>
      <c r="G13">
        <f>AVERAGEIFS(TLX!$E$2:$E$86,TLX!$A$2:$A$86,A13)</f>
        <v/>
      </c>
      <c r="H13">
        <f>AVERAGEIFS(TLX!$F$2:$F$86,TLX!$A$2:$A$86,A13)</f>
        <v/>
      </c>
      <c r="I13">
        <f>AVERAGEIFS(TLX!$G$2:$G$86,TLX!$A$2:$A$86,A13)</f>
        <v/>
      </c>
      <c r="J13">
        <f>IFERROR(AVERAGEIFS(TOAST!$K$2:$K$86,TOAST!$A$2:$A$86,A13),NA())</f>
        <v/>
      </c>
      <c r="K13">
        <f>IFERROR(AVERAGEIFS(TOAST!$L$2:$L$86,TOAST!$A$2:$A$86,A13),NA())</f>
        <v/>
      </c>
      <c r="L13">
        <f>IFERROR(AVERAGEIFS(TOAST!$M$2:$M$86,TOAST!$A$2:$A$86,A13),NA())</f>
        <v/>
      </c>
      <c r="M13">
        <f>AVERAGEIFS(Sessions!$H$2:$H$511,Sessions!$A$2:$A$511,A13)</f>
        <v/>
      </c>
      <c r="N13">
        <f>AVERAGEIFS(Sessions!$U$2:$U$511,Sessions!$A$2:$A$511,A13)</f>
        <v/>
      </c>
      <c r="O13">
        <f>AVERAGEIFS(Sessions!$I$2:$I$511,Sessions!$A$2:$A$511,A13)</f>
        <v/>
      </c>
      <c r="P13">
        <f>_xlfn.RANK.AVG(C13,$C$2:$C$86,1)</f>
        <v/>
      </c>
      <c r="Q13">
        <f>_xlfn.RANK.AVG(D13,$D$2:$D$86,1)</f>
        <v/>
      </c>
      <c r="R13">
        <f>_xlfn.RANK.AVG(L13,$L$2:$L$86,1)</f>
        <v/>
      </c>
      <c r="S13">
        <f>_xlfn.RANK.AVG(M13,$M$2:$M$86,1)</f>
        <v/>
      </c>
    </row>
    <row r="14">
      <c r="A14" t="inlineStr">
        <is>
          <t>user_0015</t>
        </is>
      </c>
      <c r="B14">
        <f>VLOOKUP(A14,Participants!$A$2:$B$86,2,FALSE)</f>
        <v/>
      </c>
      <c r="C14">
        <f>AVERAGEIFS(SUS!$W$2:$W$86,SUS!$A$2:$A$86,A14)</f>
        <v/>
      </c>
      <c r="D14">
        <f>AVERAGEIFS(TLX!$H$2:$H$86,TLX!$A$2:$A$86,A14)</f>
        <v/>
      </c>
      <c r="E14">
        <f>AVERAGEIFS(TLX!$B$2:$B$86,TLX!$A$2:$A$86,A14)</f>
        <v/>
      </c>
      <c r="F14">
        <f>AVERAGEIFS(TLX!$D$2:$D$86,TLX!$A$2:$A$86,A14)</f>
        <v/>
      </c>
      <c r="G14">
        <f>AVERAGEIFS(TLX!$E$2:$E$86,TLX!$A$2:$A$86,A14)</f>
        <v/>
      </c>
      <c r="H14">
        <f>AVERAGEIFS(TLX!$F$2:$F$86,TLX!$A$2:$A$86,A14)</f>
        <v/>
      </c>
      <c r="I14">
        <f>AVERAGEIFS(TLX!$G$2:$G$86,TLX!$A$2:$A$86,A14)</f>
        <v/>
      </c>
      <c r="J14">
        <f>IFERROR(AVERAGEIFS(TOAST!$K$2:$K$86,TOAST!$A$2:$A$86,A14),NA())</f>
        <v/>
      </c>
      <c r="K14">
        <f>IFERROR(AVERAGEIFS(TOAST!$L$2:$L$86,TOAST!$A$2:$A$86,A14),NA())</f>
        <v/>
      </c>
      <c r="L14">
        <f>IFERROR(AVERAGEIFS(TOAST!$M$2:$M$86,TOAST!$A$2:$A$86,A14),NA())</f>
        <v/>
      </c>
      <c r="M14">
        <f>AVERAGEIFS(Sessions!$H$2:$H$511,Sessions!$A$2:$A$511,A14)</f>
        <v/>
      </c>
      <c r="N14">
        <f>AVERAGEIFS(Sessions!$U$2:$U$511,Sessions!$A$2:$A$511,A14)</f>
        <v/>
      </c>
      <c r="O14">
        <f>AVERAGEIFS(Sessions!$I$2:$I$511,Sessions!$A$2:$A$511,A14)</f>
        <v/>
      </c>
      <c r="P14">
        <f>_xlfn.RANK.AVG(C14,$C$2:$C$86,1)</f>
        <v/>
      </c>
      <c r="Q14">
        <f>_xlfn.RANK.AVG(D14,$D$2:$D$86,1)</f>
        <v/>
      </c>
      <c r="R14">
        <f>_xlfn.RANK.AVG(L14,$L$2:$L$86,1)</f>
        <v/>
      </c>
      <c r="S14">
        <f>_xlfn.RANK.AVG(M14,$M$2:$M$86,1)</f>
        <v/>
      </c>
    </row>
    <row r="15">
      <c r="A15" t="inlineStr">
        <is>
          <t>user_0016</t>
        </is>
      </c>
      <c r="B15">
        <f>VLOOKUP(A15,Participants!$A$2:$B$86,2,FALSE)</f>
        <v/>
      </c>
      <c r="C15">
        <f>AVERAGEIFS(SUS!$W$2:$W$86,SUS!$A$2:$A$86,A15)</f>
        <v/>
      </c>
      <c r="D15">
        <f>AVERAGEIFS(TLX!$H$2:$H$86,TLX!$A$2:$A$86,A15)</f>
        <v/>
      </c>
      <c r="E15">
        <f>AVERAGEIFS(TLX!$B$2:$B$86,TLX!$A$2:$A$86,A15)</f>
        <v/>
      </c>
      <c r="F15">
        <f>AVERAGEIFS(TLX!$D$2:$D$86,TLX!$A$2:$A$86,A15)</f>
        <v/>
      </c>
      <c r="G15">
        <f>AVERAGEIFS(TLX!$E$2:$E$86,TLX!$A$2:$A$86,A15)</f>
        <v/>
      </c>
      <c r="H15">
        <f>AVERAGEIFS(TLX!$F$2:$F$86,TLX!$A$2:$A$86,A15)</f>
        <v/>
      </c>
      <c r="I15">
        <f>AVERAGEIFS(TLX!$G$2:$G$86,TLX!$A$2:$A$86,A15)</f>
        <v/>
      </c>
      <c r="J15">
        <f>IFERROR(AVERAGEIFS(TOAST!$K$2:$K$86,TOAST!$A$2:$A$86,A15),NA())</f>
        <v/>
      </c>
      <c r="K15">
        <f>IFERROR(AVERAGEIFS(TOAST!$L$2:$L$86,TOAST!$A$2:$A$86,A15),NA())</f>
        <v/>
      </c>
      <c r="L15">
        <f>IFERROR(AVERAGEIFS(TOAST!$M$2:$M$86,TOAST!$A$2:$A$86,A15),NA())</f>
        <v/>
      </c>
      <c r="M15">
        <f>AVERAGEIFS(Sessions!$H$2:$H$511,Sessions!$A$2:$A$511,A15)</f>
        <v/>
      </c>
      <c r="N15">
        <f>AVERAGEIFS(Sessions!$U$2:$U$511,Sessions!$A$2:$A$511,A15)</f>
        <v/>
      </c>
      <c r="O15">
        <f>AVERAGEIFS(Sessions!$I$2:$I$511,Sessions!$A$2:$A$511,A15)</f>
        <v/>
      </c>
      <c r="P15">
        <f>_xlfn.RANK.AVG(C15,$C$2:$C$86,1)</f>
        <v/>
      </c>
      <c r="Q15">
        <f>_xlfn.RANK.AVG(D15,$D$2:$D$86,1)</f>
        <v/>
      </c>
      <c r="R15">
        <f>_xlfn.RANK.AVG(L15,$L$2:$L$86,1)</f>
        <v/>
      </c>
      <c r="S15">
        <f>_xlfn.RANK.AVG(M15,$M$2:$M$86,1)</f>
        <v/>
      </c>
    </row>
    <row r="16">
      <c r="A16" t="inlineStr">
        <is>
          <t>user_0017</t>
        </is>
      </c>
      <c r="B16">
        <f>VLOOKUP(A16,Participants!$A$2:$B$86,2,FALSE)</f>
        <v/>
      </c>
      <c r="C16">
        <f>AVERAGEIFS(SUS!$W$2:$W$86,SUS!$A$2:$A$86,A16)</f>
        <v/>
      </c>
      <c r="D16">
        <f>AVERAGEIFS(TLX!$H$2:$H$86,TLX!$A$2:$A$86,A16)</f>
        <v/>
      </c>
      <c r="E16">
        <f>AVERAGEIFS(TLX!$B$2:$B$86,TLX!$A$2:$A$86,A16)</f>
        <v/>
      </c>
      <c r="F16">
        <f>AVERAGEIFS(TLX!$D$2:$D$86,TLX!$A$2:$A$86,A16)</f>
        <v/>
      </c>
      <c r="G16">
        <f>AVERAGEIFS(TLX!$E$2:$E$86,TLX!$A$2:$A$86,A16)</f>
        <v/>
      </c>
      <c r="H16">
        <f>AVERAGEIFS(TLX!$F$2:$F$86,TLX!$A$2:$A$86,A16)</f>
        <v/>
      </c>
      <c r="I16">
        <f>AVERAGEIFS(TLX!$G$2:$G$86,TLX!$A$2:$A$86,A16)</f>
        <v/>
      </c>
      <c r="J16">
        <f>IFERROR(AVERAGEIFS(TOAST!$K$2:$K$86,TOAST!$A$2:$A$86,A16),NA())</f>
        <v/>
      </c>
      <c r="K16">
        <f>IFERROR(AVERAGEIFS(TOAST!$L$2:$L$86,TOAST!$A$2:$A$86,A16),NA())</f>
        <v/>
      </c>
      <c r="L16">
        <f>IFERROR(AVERAGEIFS(TOAST!$M$2:$M$86,TOAST!$A$2:$A$86,A16),NA())</f>
        <v/>
      </c>
      <c r="M16">
        <f>AVERAGEIFS(Sessions!$H$2:$H$511,Sessions!$A$2:$A$511,A16)</f>
        <v/>
      </c>
      <c r="N16">
        <f>AVERAGEIFS(Sessions!$U$2:$U$511,Sessions!$A$2:$A$511,A16)</f>
        <v/>
      </c>
      <c r="O16">
        <f>AVERAGEIFS(Sessions!$I$2:$I$511,Sessions!$A$2:$A$511,A16)</f>
        <v/>
      </c>
      <c r="P16">
        <f>_xlfn.RANK.AVG(C16,$C$2:$C$86,1)</f>
        <v/>
      </c>
      <c r="Q16">
        <f>_xlfn.RANK.AVG(D16,$D$2:$D$86,1)</f>
        <v/>
      </c>
      <c r="R16">
        <f>_xlfn.RANK.AVG(L16,$L$2:$L$86,1)</f>
        <v/>
      </c>
      <c r="S16">
        <f>_xlfn.RANK.AVG(M16,$M$2:$M$86,1)</f>
        <v/>
      </c>
    </row>
    <row r="17">
      <c r="A17" t="inlineStr">
        <is>
          <t>user_0018</t>
        </is>
      </c>
      <c r="B17">
        <f>VLOOKUP(A17,Participants!$A$2:$B$86,2,FALSE)</f>
        <v/>
      </c>
      <c r="C17">
        <f>AVERAGEIFS(SUS!$W$2:$W$86,SUS!$A$2:$A$86,A17)</f>
        <v/>
      </c>
      <c r="D17">
        <f>AVERAGEIFS(TLX!$H$2:$H$86,TLX!$A$2:$A$86,A17)</f>
        <v/>
      </c>
      <c r="E17">
        <f>AVERAGEIFS(TLX!$B$2:$B$86,TLX!$A$2:$A$86,A17)</f>
        <v/>
      </c>
      <c r="F17">
        <f>AVERAGEIFS(TLX!$D$2:$D$86,TLX!$A$2:$A$86,A17)</f>
        <v/>
      </c>
      <c r="G17">
        <f>AVERAGEIFS(TLX!$E$2:$E$86,TLX!$A$2:$A$86,A17)</f>
        <v/>
      </c>
      <c r="H17">
        <f>AVERAGEIFS(TLX!$F$2:$F$86,TLX!$A$2:$A$86,A17)</f>
        <v/>
      </c>
      <c r="I17">
        <f>AVERAGEIFS(TLX!$G$2:$G$86,TLX!$A$2:$A$86,A17)</f>
        <v/>
      </c>
      <c r="J17">
        <f>IFERROR(AVERAGEIFS(TOAST!$K$2:$K$86,TOAST!$A$2:$A$86,A17),NA())</f>
        <v/>
      </c>
      <c r="K17">
        <f>IFERROR(AVERAGEIFS(TOAST!$L$2:$L$86,TOAST!$A$2:$A$86,A17),NA())</f>
        <v/>
      </c>
      <c r="L17">
        <f>IFERROR(AVERAGEIFS(TOAST!$M$2:$M$86,TOAST!$A$2:$A$86,A17),NA())</f>
        <v/>
      </c>
      <c r="M17">
        <f>AVERAGEIFS(Sessions!$H$2:$H$511,Sessions!$A$2:$A$511,A17)</f>
        <v/>
      </c>
      <c r="N17">
        <f>AVERAGEIFS(Sessions!$U$2:$U$511,Sessions!$A$2:$A$511,A17)</f>
        <v/>
      </c>
      <c r="O17">
        <f>AVERAGEIFS(Sessions!$I$2:$I$511,Sessions!$A$2:$A$511,A17)</f>
        <v/>
      </c>
      <c r="P17">
        <f>_xlfn.RANK.AVG(C17,$C$2:$C$86,1)</f>
        <v/>
      </c>
      <c r="Q17">
        <f>_xlfn.RANK.AVG(D17,$D$2:$D$86,1)</f>
        <v/>
      </c>
      <c r="R17">
        <f>_xlfn.RANK.AVG(L17,$L$2:$L$86,1)</f>
        <v/>
      </c>
      <c r="S17">
        <f>_xlfn.RANK.AVG(M17,$M$2:$M$86,1)</f>
        <v/>
      </c>
    </row>
    <row r="18">
      <c r="A18" t="inlineStr">
        <is>
          <t>user_0019</t>
        </is>
      </c>
      <c r="B18">
        <f>VLOOKUP(A18,Participants!$A$2:$B$86,2,FALSE)</f>
        <v/>
      </c>
      <c r="C18">
        <f>AVERAGEIFS(SUS!$W$2:$W$86,SUS!$A$2:$A$86,A18)</f>
        <v/>
      </c>
      <c r="D18">
        <f>AVERAGEIFS(TLX!$H$2:$H$86,TLX!$A$2:$A$86,A18)</f>
        <v/>
      </c>
      <c r="E18">
        <f>AVERAGEIFS(TLX!$B$2:$B$86,TLX!$A$2:$A$86,A18)</f>
        <v/>
      </c>
      <c r="F18">
        <f>AVERAGEIFS(TLX!$D$2:$D$86,TLX!$A$2:$A$86,A18)</f>
        <v/>
      </c>
      <c r="G18">
        <f>AVERAGEIFS(TLX!$E$2:$E$86,TLX!$A$2:$A$86,A18)</f>
        <v/>
      </c>
      <c r="H18">
        <f>AVERAGEIFS(TLX!$F$2:$F$86,TLX!$A$2:$A$86,A18)</f>
        <v/>
      </c>
      <c r="I18">
        <f>AVERAGEIFS(TLX!$G$2:$G$86,TLX!$A$2:$A$86,A18)</f>
        <v/>
      </c>
      <c r="J18">
        <f>IFERROR(AVERAGEIFS(TOAST!$K$2:$K$86,TOAST!$A$2:$A$86,A18),NA())</f>
        <v/>
      </c>
      <c r="K18">
        <f>IFERROR(AVERAGEIFS(TOAST!$L$2:$L$86,TOAST!$A$2:$A$86,A18),NA())</f>
        <v/>
      </c>
      <c r="L18">
        <f>IFERROR(AVERAGEIFS(TOAST!$M$2:$M$86,TOAST!$A$2:$A$86,A18),NA())</f>
        <v/>
      </c>
      <c r="M18">
        <f>AVERAGEIFS(Sessions!$H$2:$H$511,Sessions!$A$2:$A$511,A18)</f>
        <v/>
      </c>
      <c r="N18">
        <f>AVERAGEIFS(Sessions!$U$2:$U$511,Sessions!$A$2:$A$511,A18)</f>
        <v/>
      </c>
      <c r="O18">
        <f>AVERAGEIFS(Sessions!$I$2:$I$511,Sessions!$A$2:$A$511,A18)</f>
        <v/>
      </c>
      <c r="P18">
        <f>_xlfn.RANK.AVG(C18,$C$2:$C$86,1)</f>
        <v/>
      </c>
      <c r="Q18">
        <f>_xlfn.RANK.AVG(D18,$D$2:$D$86,1)</f>
        <v/>
      </c>
      <c r="R18">
        <f>_xlfn.RANK.AVG(L18,$L$2:$L$86,1)</f>
        <v/>
      </c>
      <c r="S18">
        <f>_xlfn.RANK.AVG(M18,$M$2:$M$86,1)</f>
        <v/>
      </c>
    </row>
    <row r="19">
      <c r="A19" t="inlineStr">
        <is>
          <t>user_0020</t>
        </is>
      </c>
      <c r="B19">
        <f>VLOOKUP(A19,Participants!$A$2:$B$86,2,FALSE)</f>
        <v/>
      </c>
      <c r="C19">
        <f>AVERAGEIFS(SUS!$W$2:$W$86,SUS!$A$2:$A$86,A19)</f>
        <v/>
      </c>
      <c r="D19">
        <f>AVERAGEIFS(TLX!$H$2:$H$86,TLX!$A$2:$A$86,A19)</f>
        <v/>
      </c>
      <c r="E19">
        <f>AVERAGEIFS(TLX!$B$2:$B$86,TLX!$A$2:$A$86,A19)</f>
        <v/>
      </c>
      <c r="F19">
        <f>AVERAGEIFS(TLX!$D$2:$D$86,TLX!$A$2:$A$86,A19)</f>
        <v/>
      </c>
      <c r="G19">
        <f>AVERAGEIFS(TLX!$E$2:$E$86,TLX!$A$2:$A$86,A19)</f>
        <v/>
      </c>
      <c r="H19">
        <f>AVERAGEIFS(TLX!$F$2:$F$86,TLX!$A$2:$A$86,A19)</f>
        <v/>
      </c>
      <c r="I19">
        <f>AVERAGEIFS(TLX!$G$2:$G$86,TLX!$A$2:$A$86,A19)</f>
        <v/>
      </c>
      <c r="J19">
        <f>IFERROR(AVERAGEIFS(TOAST!$K$2:$K$86,TOAST!$A$2:$A$86,A19),NA())</f>
        <v/>
      </c>
      <c r="K19">
        <f>IFERROR(AVERAGEIFS(TOAST!$L$2:$L$86,TOAST!$A$2:$A$86,A19),NA())</f>
        <v/>
      </c>
      <c r="L19">
        <f>IFERROR(AVERAGEIFS(TOAST!$M$2:$M$86,TOAST!$A$2:$A$86,A19),NA())</f>
        <v/>
      </c>
      <c r="M19">
        <f>AVERAGEIFS(Sessions!$H$2:$H$511,Sessions!$A$2:$A$511,A19)</f>
        <v/>
      </c>
      <c r="N19">
        <f>AVERAGEIFS(Sessions!$U$2:$U$511,Sessions!$A$2:$A$511,A19)</f>
        <v/>
      </c>
      <c r="O19">
        <f>AVERAGEIFS(Sessions!$I$2:$I$511,Sessions!$A$2:$A$511,A19)</f>
        <v/>
      </c>
      <c r="P19">
        <f>_xlfn.RANK.AVG(C19,$C$2:$C$86,1)</f>
        <v/>
      </c>
      <c r="Q19">
        <f>_xlfn.RANK.AVG(D19,$D$2:$D$86,1)</f>
        <v/>
      </c>
      <c r="R19">
        <f>_xlfn.RANK.AVG(L19,$L$2:$L$86,1)</f>
        <v/>
      </c>
      <c r="S19">
        <f>_xlfn.RANK.AVG(M19,$M$2:$M$86,1)</f>
        <v/>
      </c>
    </row>
    <row r="20">
      <c r="A20" t="inlineStr">
        <is>
          <t>user_0021</t>
        </is>
      </c>
      <c r="B20">
        <f>VLOOKUP(A20,Participants!$A$2:$B$86,2,FALSE)</f>
        <v/>
      </c>
      <c r="C20">
        <f>AVERAGEIFS(SUS!$W$2:$W$86,SUS!$A$2:$A$86,A20)</f>
        <v/>
      </c>
      <c r="D20">
        <f>AVERAGEIFS(TLX!$H$2:$H$86,TLX!$A$2:$A$86,A20)</f>
        <v/>
      </c>
      <c r="E20">
        <f>AVERAGEIFS(TLX!$B$2:$B$86,TLX!$A$2:$A$86,A20)</f>
        <v/>
      </c>
      <c r="F20">
        <f>AVERAGEIFS(TLX!$D$2:$D$86,TLX!$A$2:$A$86,A20)</f>
        <v/>
      </c>
      <c r="G20">
        <f>AVERAGEIFS(TLX!$E$2:$E$86,TLX!$A$2:$A$86,A20)</f>
        <v/>
      </c>
      <c r="H20">
        <f>AVERAGEIFS(TLX!$F$2:$F$86,TLX!$A$2:$A$86,A20)</f>
        <v/>
      </c>
      <c r="I20">
        <f>AVERAGEIFS(TLX!$G$2:$G$86,TLX!$A$2:$A$86,A20)</f>
        <v/>
      </c>
      <c r="J20">
        <f>IFERROR(AVERAGEIFS(TOAST!$K$2:$K$86,TOAST!$A$2:$A$86,A20),NA())</f>
        <v/>
      </c>
      <c r="K20">
        <f>IFERROR(AVERAGEIFS(TOAST!$L$2:$L$86,TOAST!$A$2:$A$86,A20),NA())</f>
        <v/>
      </c>
      <c r="L20">
        <f>IFERROR(AVERAGEIFS(TOAST!$M$2:$M$86,TOAST!$A$2:$A$86,A20),NA())</f>
        <v/>
      </c>
      <c r="M20">
        <f>AVERAGEIFS(Sessions!$H$2:$H$511,Sessions!$A$2:$A$511,A20)</f>
        <v/>
      </c>
      <c r="N20">
        <f>AVERAGEIFS(Sessions!$U$2:$U$511,Sessions!$A$2:$A$511,A20)</f>
        <v/>
      </c>
      <c r="O20">
        <f>AVERAGEIFS(Sessions!$I$2:$I$511,Sessions!$A$2:$A$511,A20)</f>
        <v/>
      </c>
      <c r="P20">
        <f>_xlfn.RANK.AVG(C20,$C$2:$C$86,1)</f>
        <v/>
      </c>
      <c r="Q20">
        <f>_xlfn.RANK.AVG(D20,$D$2:$D$86,1)</f>
        <v/>
      </c>
      <c r="R20">
        <f>_xlfn.RANK.AVG(L20,$L$2:$L$86,1)</f>
        <v/>
      </c>
      <c r="S20">
        <f>_xlfn.RANK.AVG(M20,$M$2:$M$86,1)</f>
        <v/>
      </c>
    </row>
    <row r="21">
      <c r="A21" t="inlineStr">
        <is>
          <t>user_0022</t>
        </is>
      </c>
      <c r="B21">
        <f>VLOOKUP(A21,Participants!$A$2:$B$86,2,FALSE)</f>
        <v/>
      </c>
      <c r="C21">
        <f>AVERAGEIFS(SUS!$W$2:$W$86,SUS!$A$2:$A$86,A21)</f>
        <v/>
      </c>
      <c r="D21">
        <f>AVERAGEIFS(TLX!$H$2:$H$86,TLX!$A$2:$A$86,A21)</f>
        <v/>
      </c>
      <c r="E21">
        <f>AVERAGEIFS(TLX!$B$2:$B$86,TLX!$A$2:$A$86,A21)</f>
        <v/>
      </c>
      <c r="F21">
        <f>AVERAGEIFS(TLX!$D$2:$D$86,TLX!$A$2:$A$86,A21)</f>
        <v/>
      </c>
      <c r="G21">
        <f>AVERAGEIFS(TLX!$E$2:$E$86,TLX!$A$2:$A$86,A21)</f>
        <v/>
      </c>
      <c r="H21">
        <f>AVERAGEIFS(TLX!$F$2:$F$86,TLX!$A$2:$A$86,A21)</f>
        <v/>
      </c>
      <c r="I21">
        <f>AVERAGEIFS(TLX!$G$2:$G$86,TLX!$A$2:$A$86,A21)</f>
        <v/>
      </c>
      <c r="J21">
        <f>IFERROR(AVERAGEIFS(TOAST!$K$2:$K$86,TOAST!$A$2:$A$86,A21),NA())</f>
        <v/>
      </c>
      <c r="K21">
        <f>IFERROR(AVERAGEIFS(TOAST!$L$2:$L$86,TOAST!$A$2:$A$86,A21),NA())</f>
        <v/>
      </c>
      <c r="L21">
        <f>IFERROR(AVERAGEIFS(TOAST!$M$2:$M$86,TOAST!$A$2:$A$86,A21),NA())</f>
        <v/>
      </c>
      <c r="M21">
        <f>AVERAGEIFS(Sessions!$H$2:$H$511,Sessions!$A$2:$A$511,A21)</f>
        <v/>
      </c>
      <c r="N21">
        <f>AVERAGEIFS(Sessions!$U$2:$U$511,Sessions!$A$2:$A$511,A21)</f>
        <v/>
      </c>
      <c r="O21">
        <f>AVERAGEIFS(Sessions!$I$2:$I$511,Sessions!$A$2:$A$511,A21)</f>
        <v/>
      </c>
      <c r="P21">
        <f>_xlfn.RANK.AVG(C21,$C$2:$C$86,1)</f>
        <v/>
      </c>
      <c r="Q21">
        <f>_xlfn.RANK.AVG(D21,$D$2:$D$86,1)</f>
        <v/>
      </c>
      <c r="R21">
        <f>_xlfn.RANK.AVG(L21,$L$2:$L$86,1)</f>
        <v/>
      </c>
      <c r="S21">
        <f>_xlfn.RANK.AVG(M21,$M$2:$M$86,1)</f>
        <v/>
      </c>
    </row>
    <row r="22">
      <c r="A22" t="inlineStr">
        <is>
          <t>user_0023</t>
        </is>
      </c>
      <c r="B22">
        <f>VLOOKUP(A22,Participants!$A$2:$B$86,2,FALSE)</f>
        <v/>
      </c>
      <c r="C22">
        <f>AVERAGEIFS(SUS!$W$2:$W$86,SUS!$A$2:$A$86,A22)</f>
        <v/>
      </c>
      <c r="D22">
        <f>AVERAGEIFS(TLX!$H$2:$H$86,TLX!$A$2:$A$86,A22)</f>
        <v/>
      </c>
      <c r="E22">
        <f>AVERAGEIFS(TLX!$B$2:$B$86,TLX!$A$2:$A$86,A22)</f>
        <v/>
      </c>
      <c r="F22">
        <f>AVERAGEIFS(TLX!$D$2:$D$86,TLX!$A$2:$A$86,A22)</f>
        <v/>
      </c>
      <c r="G22">
        <f>AVERAGEIFS(TLX!$E$2:$E$86,TLX!$A$2:$A$86,A22)</f>
        <v/>
      </c>
      <c r="H22">
        <f>AVERAGEIFS(TLX!$F$2:$F$86,TLX!$A$2:$A$86,A22)</f>
        <v/>
      </c>
      <c r="I22">
        <f>AVERAGEIFS(TLX!$G$2:$G$86,TLX!$A$2:$A$86,A22)</f>
        <v/>
      </c>
      <c r="J22">
        <f>IFERROR(AVERAGEIFS(TOAST!$K$2:$K$86,TOAST!$A$2:$A$86,A22),NA())</f>
        <v/>
      </c>
      <c r="K22">
        <f>IFERROR(AVERAGEIFS(TOAST!$L$2:$L$86,TOAST!$A$2:$A$86,A22),NA())</f>
        <v/>
      </c>
      <c r="L22">
        <f>IFERROR(AVERAGEIFS(TOAST!$M$2:$M$86,TOAST!$A$2:$A$86,A22),NA())</f>
        <v/>
      </c>
      <c r="M22">
        <f>AVERAGEIFS(Sessions!$H$2:$H$511,Sessions!$A$2:$A$511,A22)</f>
        <v/>
      </c>
      <c r="N22">
        <f>AVERAGEIFS(Sessions!$U$2:$U$511,Sessions!$A$2:$A$511,A22)</f>
        <v/>
      </c>
      <c r="O22">
        <f>AVERAGEIFS(Sessions!$I$2:$I$511,Sessions!$A$2:$A$511,A22)</f>
        <v/>
      </c>
      <c r="P22">
        <f>_xlfn.RANK.AVG(C22,$C$2:$C$86,1)</f>
        <v/>
      </c>
      <c r="Q22">
        <f>_xlfn.RANK.AVG(D22,$D$2:$D$86,1)</f>
        <v/>
      </c>
      <c r="R22">
        <f>_xlfn.RANK.AVG(L22,$L$2:$L$86,1)</f>
        <v/>
      </c>
      <c r="S22">
        <f>_xlfn.RANK.AVG(M22,$M$2:$M$86,1)</f>
        <v/>
      </c>
    </row>
    <row r="23">
      <c r="A23" t="inlineStr">
        <is>
          <t>user_0024</t>
        </is>
      </c>
      <c r="B23">
        <f>VLOOKUP(A23,Participants!$A$2:$B$86,2,FALSE)</f>
        <v/>
      </c>
      <c r="C23">
        <f>AVERAGEIFS(SUS!$W$2:$W$86,SUS!$A$2:$A$86,A23)</f>
        <v/>
      </c>
      <c r="D23">
        <f>AVERAGEIFS(TLX!$H$2:$H$86,TLX!$A$2:$A$86,A23)</f>
        <v/>
      </c>
      <c r="E23">
        <f>AVERAGEIFS(TLX!$B$2:$B$86,TLX!$A$2:$A$86,A23)</f>
        <v/>
      </c>
      <c r="F23">
        <f>AVERAGEIFS(TLX!$D$2:$D$86,TLX!$A$2:$A$86,A23)</f>
        <v/>
      </c>
      <c r="G23">
        <f>AVERAGEIFS(TLX!$E$2:$E$86,TLX!$A$2:$A$86,A23)</f>
        <v/>
      </c>
      <c r="H23">
        <f>AVERAGEIFS(TLX!$F$2:$F$86,TLX!$A$2:$A$86,A23)</f>
        <v/>
      </c>
      <c r="I23">
        <f>AVERAGEIFS(TLX!$G$2:$G$86,TLX!$A$2:$A$86,A23)</f>
        <v/>
      </c>
      <c r="J23">
        <f>IFERROR(AVERAGEIFS(TOAST!$K$2:$K$86,TOAST!$A$2:$A$86,A23),NA())</f>
        <v/>
      </c>
      <c r="K23">
        <f>IFERROR(AVERAGEIFS(TOAST!$L$2:$L$86,TOAST!$A$2:$A$86,A23),NA())</f>
        <v/>
      </c>
      <c r="L23">
        <f>IFERROR(AVERAGEIFS(TOAST!$M$2:$M$86,TOAST!$A$2:$A$86,A23),NA())</f>
        <v/>
      </c>
      <c r="M23">
        <f>AVERAGEIFS(Sessions!$H$2:$H$511,Sessions!$A$2:$A$511,A23)</f>
        <v/>
      </c>
      <c r="N23">
        <f>AVERAGEIFS(Sessions!$U$2:$U$511,Sessions!$A$2:$A$511,A23)</f>
        <v/>
      </c>
      <c r="O23">
        <f>AVERAGEIFS(Sessions!$I$2:$I$511,Sessions!$A$2:$A$511,A23)</f>
        <v/>
      </c>
      <c r="P23">
        <f>_xlfn.RANK.AVG(C23,$C$2:$C$86,1)</f>
        <v/>
      </c>
      <c r="Q23">
        <f>_xlfn.RANK.AVG(D23,$D$2:$D$86,1)</f>
        <v/>
      </c>
      <c r="R23">
        <f>_xlfn.RANK.AVG(L23,$L$2:$L$86,1)</f>
        <v/>
      </c>
      <c r="S23">
        <f>_xlfn.RANK.AVG(M23,$M$2:$M$86,1)</f>
        <v/>
      </c>
    </row>
    <row r="24">
      <c r="A24" t="inlineStr">
        <is>
          <t>user_0026</t>
        </is>
      </c>
      <c r="B24">
        <f>VLOOKUP(A24,Participants!$A$2:$B$86,2,FALSE)</f>
        <v/>
      </c>
      <c r="C24">
        <f>AVERAGEIFS(SUS!$W$2:$W$86,SUS!$A$2:$A$86,A24)</f>
        <v/>
      </c>
      <c r="D24">
        <f>AVERAGEIFS(TLX!$H$2:$H$86,TLX!$A$2:$A$86,A24)</f>
        <v/>
      </c>
      <c r="E24">
        <f>AVERAGEIFS(TLX!$B$2:$B$86,TLX!$A$2:$A$86,A24)</f>
        <v/>
      </c>
      <c r="F24">
        <f>AVERAGEIFS(TLX!$D$2:$D$86,TLX!$A$2:$A$86,A24)</f>
        <v/>
      </c>
      <c r="G24">
        <f>AVERAGEIFS(TLX!$E$2:$E$86,TLX!$A$2:$A$86,A24)</f>
        <v/>
      </c>
      <c r="H24">
        <f>AVERAGEIFS(TLX!$F$2:$F$86,TLX!$A$2:$A$86,A24)</f>
        <v/>
      </c>
      <c r="I24">
        <f>AVERAGEIFS(TLX!$G$2:$G$86,TLX!$A$2:$A$86,A24)</f>
        <v/>
      </c>
      <c r="J24">
        <f>IFERROR(AVERAGEIFS(TOAST!$K$2:$K$86,TOAST!$A$2:$A$86,A24),NA())</f>
        <v/>
      </c>
      <c r="K24">
        <f>IFERROR(AVERAGEIFS(TOAST!$L$2:$L$86,TOAST!$A$2:$A$86,A24),NA())</f>
        <v/>
      </c>
      <c r="L24">
        <f>IFERROR(AVERAGEIFS(TOAST!$M$2:$M$86,TOAST!$A$2:$A$86,A24),NA())</f>
        <v/>
      </c>
      <c r="M24">
        <f>AVERAGEIFS(Sessions!$H$2:$H$511,Sessions!$A$2:$A$511,A24)</f>
        <v/>
      </c>
      <c r="N24">
        <f>AVERAGEIFS(Sessions!$U$2:$U$511,Sessions!$A$2:$A$511,A24)</f>
        <v/>
      </c>
      <c r="O24">
        <f>AVERAGEIFS(Sessions!$I$2:$I$511,Sessions!$A$2:$A$511,A24)</f>
        <v/>
      </c>
      <c r="P24">
        <f>_xlfn.RANK.AVG(C24,$C$2:$C$86,1)</f>
        <v/>
      </c>
      <c r="Q24">
        <f>_xlfn.RANK.AVG(D24,$D$2:$D$86,1)</f>
        <v/>
      </c>
      <c r="R24">
        <f>_xlfn.RANK.AVG(L24,$L$2:$L$86,1)</f>
        <v/>
      </c>
      <c r="S24">
        <f>_xlfn.RANK.AVG(M24,$M$2:$M$86,1)</f>
        <v/>
      </c>
    </row>
    <row r="25">
      <c r="A25" t="inlineStr">
        <is>
          <t>user_0027</t>
        </is>
      </c>
      <c r="B25">
        <f>VLOOKUP(A25,Participants!$A$2:$B$86,2,FALSE)</f>
        <v/>
      </c>
      <c r="C25">
        <f>AVERAGEIFS(SUS!$W$2:$W$86,SUS!$A$2:$A$86,A25)</f>
        <v/>
      </c>
      <c r="D25">
        <f>AVERAGEIFS(TLX!$H$2:$H$86,TLX!$A$2:$A$86,A25)</f>
        <v/>
      </c>
      <c r="E25">
        <f>AVERAGEIFS(TLX!$B$2:$B$86,TLX!$A$2:$A$86,A25)</f>
        <v/>
      </c>
      <c r="F25">
        <f>AVERAGEIFS(TLX!$D$2:$D$86,TLX!$A$2:$A$86,A25)</f>
        <v/>
      </c>
      <c r="G25">
        <f>AVERAGEIFS(TLX!$E$2:$E$86,TLX!$A$2:$A$86,A25)</f>
        <v/>
      </c>
      <c r="H25">
        <f>AVERAGEIFS(TLX!$F$2:$F$86,TLX!$A$2:$A$86,A25)</f>
        <v/>
      </c>
      <c r="I25">
        <f>AVERAGEIFS(TLX!$G$2:$G$86,TLX!$A$2:$A$86,A25)</f>
        <v/>
      </c>
      <c r="J25">
        <f>IFERROR(AVERAGEIFS(TOAST!$K$2:$K$86,TOAST!$A$2:$A$86,A25),NA())</f>
        <v/>
      </c>
      <c r="K25">
        <f>IFERROR(AVERAGEIFS(TOAST!$L$2:$L$86,TOAST!$A$2:$A$86,A25),NA())</f>
        <v/>
      </c>
      <c r="L25">
        <f>IFERROR(AVERAGEIFS(TOAST!$M$2:$M$86,TOAST!$A$2:$A$86,A25),NA())</f>
        <v/>
      </c>
      <c r="M25">
        <f>AVERAGEIFS(Sessions!$H$2:$H$511,Sessions!$A$2:$A$511,A25)</f>
        <v/>
      </c>
      <c r="N25">
        <f>AVERAGEIFS(Sessions!$U$2:$U$511,Sessions!$A$2:$A$511,A25)</f>
        <v/>
      </c>
      <c r="O25">
        <f>AVERAGEIFS(Sessions!$I$2:$I$511,Sessions!$A$2:$A$511,A25)</f>
        <v/>
      </c>
      <c r="P25">
        <f>_xlfn.RANK.AVG(C25,$C$2:$C$86,1)</f>
        <v/>
      </c>
      <c r="Q25">
        <f>_xlfn.RANK.AVG(D25,$D$2:$D$86,1)</f>
        <v/>
      </c>
      <c r="R25">
        <f>_xlfn.RANK.AVG(L25,$L$2:$L$86,1)</f>
        <v/>
      </c>
      <c r="S25">
        <f>_xlfn.RANK.AVG(M25,$M$2:$M$86,1)</f>
        <v/>
      </c>
    </row>
    <row r="26">
      <c r="A26" t="inlineStr">
        <is>
          <t>user_0028</t>
        </is>
      </c>
      <c r="B26">
        <f>VLOOKUP(A26,Participants!$A$2:$B$86,2,FALSE)</f>
        <v/>
      </c>
      <c r="C26">
        <f>AVERAGEIFS(SUS!$W$2:$W$86,SUS!$A$2:$A$86,A26)</f>
        <v/>
      </c>
      <c r="D26">
        <f>AVERAGEIFS(TLX!$H$2:$H$86,TLX!$A$2:$A$86,A26)</f>
        <v/>
      </c>
      <c r="E26">
        <f>AVERAGEIFS(TLX!$B$2:$B$86,TLX!$A$2:$A$86,A26)</f>
        <v/>
      </c>
      <c r="F26">
        <f>AVERAGEIFS(TLX!$D$2:$D$86,TLX!$A$2:$A$86,A26)</f>
        <v/>
      </c>
      <c r="G26">
        <f>AVERAGEIFS(TLX!$E$2:$E$86,TLX!$A$2:$A$86,A26)</f>
        <v/>
      </c>
      <c r="H26">
        <f>AVERAGEIFS(TLX!$F$2:$F$86,TLX!$A$2:$A$86,A26)</f>
        <v/>
      </c>
      <c r="I26">
        <f>AVERAGEIFS(TLX!$G$2:$G$86,TLX!$A$2:$A$86,A26)</f>
        <v/>
      </c>
      <c r="J26">
        <f>IFERROR(AVERAGEIFS(TOAST!$K$2:$K$86,TOAST!$A$2:$A$86,A26),NA())</f>
        <v/>
      </c>
      <c r="K26">
        <f>IFERROR(AVERAGEIFS(TOAST!$L$2:$L$86,TOAST!$A$2:$A$86,A26),NA())</f>
        <v/>
      </c>
      <c r="L26">
        <f>IFERROR(AVERAGEIFS(TOAST!$M$2:$M$86,TOAST!$A$2:$A$86,A26),NA())</f>
        <v/>
      </c>
      <c r="M26">
        <f>AVERAGEIFS(Sessions!$H$2:$H$511,Sessions!$A$2:$A$511,A26)</f>
        <v/>
      </c>
      <c r="N26">
        <f>AVERAGEIFS(Sessions!$U$2:$U$511,Sessions!$A$2:$A$511,A26)</f>
        <v/>
      </c>
      <c r="O26">
        <f>AVERAGEIFS(Sessions!$I$2:$I$511,Sessions!$A$2:$A$511,A26)</f>
        <v/>
      </c>
      <c r="P26">
        <f>_xlfn.RANK.AVG(C26,$C$2:$C$86,1)</f>
        <v/>
      </c>
      <c r="Q26">
        <f>_xlfn.RANK.AVG(D26,$D$2:$D$86,1)</f>
        <v/>
      </c>
      <c r="R26">
        <f>_xlfn.RANK.AVG(L26,$L$2:$L$86,1)</f>
        <v/>
      </c>
      <c r="S26">
        <f>_xlfn.RANK.AVG(M26,$M$2:$M$86,1)</f>
        <v/>
      </c>
    </row>
    <row r="27">
      <c r="A27" t="inlineStr">
        <is>
          <t>user_0029</t>
        </is>
      </c>
      <c r="B27">
        <f>VLOOKUP(A27,Participants!$A$2:$B$86,2,FALSE)</f>
        <v/>
      </c>
      <c r="C27">
        <f>AVERAGEIFS(SUS!$W$2:$W$86,SUS!$A$2:$A$86,A27)</f>
        <v/>
      </c>
      <c r="D27">
        <f>AVERAGEIFS(TLX!$H$2:$H$86,TLX!$A$2:$A$86,A27)</f>
        <v/>
      </c>
      <c r="E27">
        <f>AVERAGEIFS(TLX!$B$2:$B$86,TLX!$A$2:$A$86,A27)</f>
        <v/>
      </c>
      <c r="F27">
        <f>AVERAGEIFS(TLX!$D$2:$D$86,TLX!$A$2:$A$86,A27)</f>
        <v/>
      </c>
      <c r="G27">
        <f>AVERAGEIFS(TLX!$E$2:$E$86,TLX!$A$2:$A$86,A27)</f>
        <v/>
      </c>
      <c r="H27">
        <f>AVERAGEIFS(TLX!$F$2:$F$86,TLX!$A$2:$A$86,A27)</f>
        <v/>
      </c>
      <c r="I27">
        <f>AVERAGEIFS(TLX!$G$2:$G$86,TLX!$A$2:$A$86,A27)</f>
        <v/>
      </c>
      <c r="J27">
        <f>IFERROR(AVERAGEIFS(TOAST!$K$2:$K$86,TOAST!$A$2:$A$86,A27),NA())</f>
        <v/>
      </c>
      <c r="K27">
        <f>IFERROR(AVERAGEIFS(TOAST!$L$2:$L$86,TOAST!$A$2:$A$86,A27),NA())</f>
        <v/>
      </c>
      <c r="L27">
        <f>IFERROR(AVERAGEIFS(TOAST!$M$2:$M$86,TOAST!$A$2:$A$86,A27),NA())</f>
        <v/>
      </c>
      <c r="M27">
        <f>AVERAGEIFS(Sessions!$H$2:$H$511,Sessions!$A$2:$A$511,A27)</f>
        <v/>
      </c>
      <c r="N27">
        <f>AVERAGEIFS(Sessions!$U$2:$U$511,Sessions!$A$2:$A$511,A27)</f>
        <v/>
      </c>
      <c r="O27">
        <f>AVERAGEIFS(Sessions!$I$2:$I$511,Sessions!$A$2:$A$511,A27)</f>
        <v/>
      </c>
      <c r="P27">
        <f>_xlfn.RANK.AVG(C27,$C$2:$C$86,1)</f>
        <v/>
      </c>
      <c r="Q27">
        <f>_xlfn.RANK.AVG(D27,$D$2:$D$86,1)</f>
        <v/>
      </c>
      <c r="R27">
        <f>_xlfn.RANK.AVG(L27,$L$2:$L$86,1)</f>
        <v/>
      </c>
      <c r="S27">
        <f>_xlfn.RANK.AVG(M27,$M$2:$M$86,1)</f>
        <v/>
      </c>
    </row>
    <row r="28">
      <c r="A28" t="inlineStr">
        <is>
          <t>user_0031</t>
        </is>
      </c>
      <c r="B28">
        <f>VLOOKUP(A28,Participants!$A$2:$B$86,2,FALSE)</f>
        <v/>
      </c>
      <c r="C28">
        <f>AVERAGEIFS(SUS!$W$2:$W$86,SUS!$A$2:$A$86,A28)</f>
        <v/>
      </c>
      <c r="D28">
        <f>AVERAGEIFS(TLX!$H$2:$H$86,TLX!$A$2:$A$86,A28)</f>
        <v/>
      </c>
      <c r="E28">
        <f>AVERAGEIFS(TLX!$B$2:$B$86,TLX!$A$2:$A$86,A28)</f>
        <v/>
      </c>
      <c r="F28">
        <f>AVERAGEIFS(TLX!$D$2:$D$86,TLX!$A$2:$A$86,A28)</f>
        <v/>
      </c>
      <c r="G28">
        <f>AVERAGEIFS(TLX!$E$2:$E$86,TLX!$A$2:$A$86,A28)</f>
        <v/>
      </c>
      <c r="H28">
        <f>AVERAGEIFS(TLX!$F$2:$F$86,TLX!$A$2:$A$86,A28)</f>
        <v/>
      </c>
      <c r="I28">
        <f>AVERAGEIFS(TLX!$G$2:$G$86,TLX!$A$2:$A$86,A28)</f>
        <v/>
      </c>
      <c r="J28">
        <f>IFERROR(AVERAGEIFS(TOAST!$K$2:$K$86,TOAST!$A$2:$A$86,A28),NA())</f>
        <v/>
      </c>
      <c r="K28">
        <f>IFERROR(AVERAGEIFS(TOAST!$L$2:$L$86,TOAST!$A$2:$A$86,A28),NA())</f>
        <v/>
      </c>
      <c r="L28">
        <f>IFERROR(AVERAGEIFS(TOAST!$M$2:$M$86,TOAST!$A$2:$A$86,A28),NA())</f>
        <v/>
      </c>
      <c r="M28">
        <f>AVERAGEIFS(Sessions!$H$2:$H$511,Sessions!$A$2:$A$511,A28)</f>
        <v/>
      </c>
      <c r="N28">
        <f>AVERAGEIFS(Sessions!$U$2:$U$511,Sessions!$A$2:$A$511,A28)</f>
        <v/>
      </c>
      <c r="O28">
        <f>AVERAGEIFS(Sessions!$I$2:$I$511,Sessions!$A$2:$A$511,A28)</f>
        <v/>
      </c>
      <c r="P28">
        <f>_xlfn.RANK.AVG(C28,$C$2:$C$86,1)</f>
        <v/>
      </c>
      <c r="Q28">
        <f>_xlfn.RANK.AVG(D28,$D$2:$D$86,1)</f>
        <v/>
      </c>
      <c r="R28">
        <f>_xlfn.RANK.AVG(L28,$L$2:$L$86,1)</f>
        <v/>
      </c>
      <c r="S28">
        <f>_xlfn.RANK.AVG(M28,$M$2:$M$86,1)</f>
        <v/>
      </c>
    </row>
    <row r="29">
      <c r="A29" t="inlineStr">
        <is>
          <t>user_0032</t>
        </is>
      </c>
      <c r="B29">
        <f>VLOOKUP(A29,Participants!$A$2:$B$86,2,FALSE)</f>
        <v/>
      </c>
      <c r="C29">
        <f>AVERAGEIFS(SUS!$W$2:$W$86,SUS!$A$2:$A$86,A29)</f>
        <v/>
      </c>
      <c r="D29">
        <f>AVERAGEIFS(TLX!$H$2:$H$86,TLX!$A$2:$A$86,A29)</f>
        <v/>
      </c>
      <c r="E29">
        <f>AVERAGEIFS(TLX!$B$2:$B$86,TLX!$A$2:$A$86,A29)</f>
        <v/>
      </c>
      <c r="F29">
        <f>AVERAGEIFS(TLX!$D$2:$D$86,TLX!$A$2:$A$86,A29)</f>
        <v/>
      </c>
      <c r="G29">
        <f>AVERAGEIFS(TLX!$E$2:$E$86,TLX!$A$2:$A$86,A29)</f>
        <v/>
      </c>
      <c r="H29">
        <f>AVERAGEIFS(TLX!$F$2:$F$86,TLX!$A$2:$A$86,A29)</f>
        <v/>
      </c>
      <c r="I29">
        <f>AVERAGEIFS(TLX!$G$2:$G$86,TLX!$A$2:$A$86,A29)</f>
        <v/>
      </c>
      <c r="J29">
        <f>IFERROR(AVERAGEIFS(TOAST!$K$2:$K$86,TOAST!$A$2:$A$86,A29),NA())</f>
        <v/>
      </c>
      <c r="K29">
        <f>IFERROR(AVERAGEIFS(TOAST!$L$2:$L$86,TOAST!$A$2:$A$86,A29),NA())</f>
        <v/>
      </c>
      <c r="L29">
        <f>IFERROR(AVERAGEIFS(TOAST!$M$2:$M$86,TOAST!$A$2:$A$86,A29),NA())</f>
        <v/>
      </c>
      <c r="M29">
        <f>AVERAGEIFS(Sessions!$H$2:$H$511,Sessions!$A$2:$A$511,A29)</f>
        <v/>
      </c>
      <c r="N29">
        <f>AVERAGEIFS(Sessions!$U$2:$U$511,Sessions!$A$2:$A$511,A29)</f>
        <v/>
      </c>
      <c r="O29">
        <f>AVERAGEIFS(Sessions!$I$2:$I$511,Sessions!$A$2:$A$511,A29)</f>
        <v/>
      </c>
      <c r="P29">
        <f>_xlfn.RANK.AVG(C29,$C$2:$C$86,1)</f>
        <v/>
      </c>
      <c r="Q29">
        <f>_xlfn.RANK.AVG(D29,$D$2:$D$86,1)</f>
        <v/>
      </c>
      <c r="R29">
        <f>_xlfn.RANK.AVG(L29,$L$2:$L$86,1)</f>
        <v/>
      </c>
      <c r="S29">
        <f>_xlfn.RANK.AVG(M29,$M$2:$M$86,1)</f>
        <v/>
      </c>
    </row>
    <row r="30">
      <c r="A30" t="inlineStr">
        <is>
          <t>user_0033</t>
        </is>
      </c>
      <c r="B30">
        <f>VLOOKUP(A30,Participants!$A$2:$B$86,2,FALSE)</f>
        <v/>
      </c>
      <c r="C30">
        <f>AVERAGEIFS(SUS!$W$2:$W$86,SUS!$A$2:$A$86,A30)</f>
        <v/>
      </c>
      <c r="D30">
        <f>AVERAGEIFS(TLX!$H$2:$H$86,TLX!$A$2:$A$86,A30)</f>
        <v/>
      </c>
      <c r="E30">
        <f>AVERAGEIFS(TLX!$B$2:$B$86,TLX!$A$2:$A$86,A30)</f>
        <v/>
      </c>
      <c r="F30">
        <f>AVERAGEIFS(TLX!$D$2:$D$86,TLX!$A$2:$A$86,A30)</f>
        <v/>
      </c>
      <c r="G30">
        <f>AVERAGEIFS(TLX!$E$2:$E$86,TLX!$A$2:$A$86,A30)</f>
        <v/>
      </c>
      <c r="H30">
        <f>AVERAGEIFS(TLX!$F$2:$F$86,TLX!$A$2:$A$86,A30)</f>
        <v/>
      </c>
      <c r="I30">
        <f>AVERAGEIFS(TLX!$G$2:$G$86,TLX!$A$2:$A$86,A30)</f>
        <v/>
      </c>
      <c r="J30">
        <f>IFERROR(AVERAGEIFS(TOAST!$K$2:$K$86,TOAST!$A$2:$A$86,A30),NA())</f>
        <v/>
      </c>
      <c r="K30">
        <f>IFERROR(AVERAGEIFS(TOAST!$L$2:$L$86,TOAST!$A$2:$A$86,A30),NA())</f>
        <v/>
      </c>
      <c r="L30">
        <f>IFERROR(AVERAGEIFS(TOAST!$M$2:$M$86,TOAST!$A$2:$A$86,A30),NA())</f>
        <v/>
      </c>
      <c r="M30">
        <f>AVERAGEIFS(Sessions!$H$2:$H$511,Sessions!$A$2:$A$511,A30)</f>
        <v/>
      </c>
      <c r="N30">
        <f>AVERAGEIFS(Sessions!$U$2:$U$511,Sessions!$A$2:$A$511,A30)</f>
        <v/>
      </c>
      <c r="O30">
        <f>AVERAGEIFS(Sessions!$I$2:$I$511,Sessions!$A$2:$A$511,A30)</f>
        <v/>
      </c>
      <c r="P30">
        <f>_xlfn.RANK.AVG(C30,$C$2:$C$86,1)</f>
        <v/>
      </c>
      <c r="Q30">
        <f>_xlfn.RANK.AVG(D30,$D$2:$D$86,1)</f>
        <v/>
      </c>
      <c r="R30">
        <f>_xlfn.RANK.AVG(L30,$L$2:$L$86,1)</f>
        <v/>
      </c>
      <c r="S30">
        <f>_xlfn.RANK.AVG(M30,$M$2:$M$86,1)</f>
        <v/>
      </c>
    </row>
    <row r="31">
      <c r="A31" t="inlineStr">
        <is>
          <t>user_0034</t>
        </is>
      </c>
      <c r="B31">
        <f>VLOOKUP(A31,Participants!$A$2:$B$86,2,FALSE)</f>
        <v/>
      </c>
      <c r="C31">
        <f>AVERAGEIFS(SUS!$W$2:$W$86,SUS!$A$2:$A$86,A31)</f>
        <v/>
      </c>
      <c r="D31">
        <f>AVERAGEIFS(TLX!$H$2:$H$86,TLX!$A$2:$A$86,A31)</f>
        <v/>
      </c>
      <c r="E31">
        <f>AVERAGEIFS(TLX!$B$2:$B$86,TLX!$A$2:$A$86,A31)</f>
        <v/>
      </c>
      <c r="F31">
        <f>AVERAGEIFS(TLX!$D$2:$D$86,TLX!$A$2:$A$86,A31)</f>
        <v/>
      </c>
      <c r="G31">
        <f>AVERAGEIFS(TLX!$E$2:$E$86,TLX!$A$2:$A$86,A31)</f>
        <v/>
      </c>
      <c r="H31">
        <f>AVERAGEIFS(TLX!$F$2:$F$86,TLX!$A$2:$A$86,A31)</f>
        <v/>
      </c>
      <c r="I31">
        <f>AVERAGEIFS(TLX!$G$2:$G$86,TLX!$A$2:$A$86,A31)</f>
        <v/>
      </c>
      <c r="J31">
        <f>IFERROR(AVERAGEIFS(TOAST!$K$2:$K$86,TOAST!$A$2:$A$86,A31),NA())</f>
        <v/>
      </c>
      <c r="K31">
        <f>IFERROR(AVERAGEIFS(TOAST!$L$2:$L$86,TOAST!$A$2:$A$86,A31),NA())</f>
        <v/>
      </c>
      <c r="L31">
        <f>IFERROR(AVERAGEIFS(TOAST!$M$2:$M$86,TOAST!$A$2:$A$86,A31),NA())</f>
        <v/>
      </c>
      <c r="M31">
        <f>AVERAGEIFS(Sessions!$H$2:$H$511,Sessions!$A$2:$A$511,A31)</f>
        <v/>
      </c>
      <c r="N31">
        <f>AVERAGEIFS(Sessions!$U$2:$U$511,Sessions!$A$2:$A$511,A31)</f>
        <v/>
      </c>
      <c r="O31">
        <f>AVERAGEIFS(Sessions!$I$2:$I$511,Sessions!$A$2:$A$511,A31)</f>
        <v/>
      </c>
      <c r="P31">
        <f>_xlfn.RANK.AVG(C31,$C$2:$C$86,1)</f>
        <v/>
      </c>
      <c r="Q31">
        <f>_xlfn.RANK.AVG(D31,$D$2:$D$86,1)</f>
        <v/>
      </c>
      <c r="R31">
        <f>_xlfn.RANK.AVG(L31,$L$2:$L$86,1)</f>
        <v/>
      </c>
      <c r="S31">
        <f>_xlfn.RANK.AVG(M31,$M$2:$M$86,1)</f>
        <v/>
      </c>
    </row>
    <row r="32">
      <c r="A32" t="inlineStr">
        <is>
          <t>user_0037</t>
        </is>
      </c>
      <c r="B32">
        <f>VLOOKUP(A32,Participants!$A$2:$B$86,2,FALSE)</f>
        <v/>
      </c>
      <c r="C32">
        <f>AVERAGEIFS(SUS!$W$2:$W$86,SUS!$A$2:$A$86,A32)</f>
        <v/>
      </c>
      <c r="D32">
        <f>AVERAGEIFS(TLX!$H$2:$H$86,TLX!$A$2:$A$86,A32)</f>
        <v/>
      </c>
      <c r="E32">
        <f>AVERAGEIFS(TLX!$B$2:$B$86,TLX!$A$2:$A$86,A32)</f>
        <v/>
      </c>
      <c r="F32">
        <f>AVERAGEIFS(TLX!$D$2:$D$86,TLX!$A$2:$A$86,A32)</f>
        <v/>
      </c>
      <c r="G32">
        <f>AVERAGEIFS(TLX!$E$2:$E$86,TLX!$A$2:$A$86,A32)</f>
        <v/>
      </c>
      <c r="H32">
        <f>AVERAGEIFS(TLX!$F$2:$F$86,TLX!$A$2:$A$86,A32)</f>
        <v/>
      </c>
      <c r="I32">
        <f>AVERAGEIFS(TLX!$G$2:$G$86,TLX!$A$2:$A$86,A32)</f>
        <v/>
      </c>
      <c r="J32">
        <f>IFERROR(AVERAGEIFS(TOAST!$K$2:$K$86,TOAST!$A$2:$A$86,A32),NA())</f>
        <v/>
      </c>
      <c r="K32">
        <f>IFERROR(AVERAGEIFS(TOAST!$L$2:$L$86,TOAST!$A$2:$A$86,A32),NA())</f>
        <v/>
      </c>
      <c r="L32">
        <f>IFERROR(AVERAGEIFS(TOAST!$M$2:$M$86,TOAST!$A$2:$A$86,A32),NA())</f>
        <v/>
      </c>
      <c r="M32">
        <f>AVERAGEIFS(Sessions!$H$2:$H$511,Sessions!$A$2:$A$511,A32)</f>
        <v/>
      </c>
      <c r="N32">
        <f>AVERAGEIFS(Sessions!$U$2:$U$511,Sessions!$A$2:$A$511,A32)</f>
        <v/>
      </c>
      <c r="O32">
        <f>AVERAGEIFS(Sessions!$I$2:$I$511,Sessions!$A$2:$A$511,A32)</f>
        <v/>
      </c>
      <c r="P32">
        <f>_xlfn.RANK.AVG(C32,$C$2:$C$86,1)</f>
        <v/>
      </c>
      <c r="Q32">
        <f>_xlfn.RANK.AVG(D32,$D$2:$D$86,1)</f>
        <v/>
      </c>
      <c r="R32">
        <f>_xlfn.RANK.AVG(L32,$L$2:$L$86,1)</f>
        <v/>
      </c>
      <c r="S32">
        <f>_xlfn.RANK.AVG(M32,$M$2:$M$86,1)</f>
        <v/>
      </c>
    </row>
    <row r="33">
      <c r="A33" t="inlineStr">
        <is>
          <t>user_0039</t>
        </is>
      </c>
      <c r="B33">
        <f>VLOOKUP(A33,Participants!$A$2:$B$86,2,FALSE)</f>
        <v/>
      </c>
      <c r="C33">
        <f>AVERAGEIFS(SUS!$W$2:$W$86,SUS!$A$2:$A$86,A33)</f>
        <v/>
      </c>
      <c r="D33">
        <f>AVERAGEIFS(TLX!$H$2:$H$86,TLX!$A$2:$A$86,A33)</f>
        <v/>
      </c>
      <c r="E33">
        <f>AVERAGEIFS(TLX!$B$2:$B$86,TLX!$A$2:$A$86,A33)</f>
        <v/>
      </c>
      <c r="F33">
        <f>AVERAGEIFS(TLX!$D$2:$D$86,TLX!$A$2:$A$86,A33)</f>
        <v/>
      </c>
      <c r="G33">
        <f>AVERAGEIFS(TLX!$E$2:$E$86,TLX!$A$2:$A$86,A33)</f>
        <v/>
      </c>
      <c r="H33">
        <f>AVERAGEIFS(TLX!$F$2:$F$86,TLX!$A$2:$A$86,A33)</f>
        <v/>
      </c>
      <c r="I33">
        <f>AVERAGEIFS(TLX!$G$2:$G$86,TLX!$A$2:$A$86,A33)</f>
        <v/>
      </c>
      <c r="J33">
        <f>IFERROR(AVERAGEIFS(TOAST!$K$2:$K$86,TOAST!$A$2:$A$86,A33),NA())</f>
        <v/>
      </c>
      <c r="K33">
        <f>IFERROR(AVERAGEIFS(TOAST!$L$2:$L$86,TOAST!$A$2:$A$86,A33),NA())</f>
        <v/>
      </c>
      <c r="L33">
        <f>IFERROR(AVERAGEIFS(TOAST!$M$2:$M$86,TOAST!$A$2:$A$86,A33),NA())</f>
        <v/>
      </c>
      <c r="M33">
        <f>AVERAGEIFS(Sessions!$H$2:$H$511,Sessions!$A$2:$A$511,A33)</f>
        <v/>
      </c>
      <c r="N33">
        <f>AVERAGEIFS(Sessions!$U$2:$U$511,Sessions!$A$2:$A$511,A33)</f>
        <v/>
      </c>
      <c r="O33">
        <f>AVERAGEIFS(Sessions!$I$2:$I$511,Sessions!$A$2:$A$511,A33)</f>
        <v/>
      </c>
      <c r="P33">
        <f>_xlfn.RANK.AVG(C33,$C$2:$C$86,1)</f>
        <v/>
      </c>
      <c r="Q33">
        <f>_xlfn.RANK.AVG(D33,$D$2:$D$86,1)</f>
        <v/>
      </c>
      <c r="R33">
        <f>_xlfn.RANK.AVG(L33,$L$2:$L$86,1)</f>
        <v/>
      </c>
      <c r="S33">
        <f>_xlfn.RANK.AVG(M33,$M$2:$M$86,1)</f>
        <v/>
      </c>
    </row>
    <row r="34">
      <c r="A34" t="inlineStr">
        <is>
          <t>user_0042</t>
        </is>
      </c>
      <c r="B34">
        <f>VLOOKUP(A34,Participants!$A$2:$B$86,2,FALSE)</f>
        <v/>
      </c>
      <c r="C34">
        <f>AVERAGEIFS(SUS!$W$2:$W$86,SUS!$A$2:$A$86,A34)</f>
        <v/>
      </c>
      <c r="D34">
        <f>AVERAGEIFS(TLX!$H$2:$H$86,TLX!$A$2:$A$86,A34)</f>
        <v/>
      </c>
      <c r="E34">
        <f>AVERAGEIFS(TLX!$B$2:$B$86,TLX!$A$2:$A$86,A34)</f>
        <v/>
      </c>
      <c r="F34">
        <f>AVERAGEIFS(TLX!$D$2:$D$86,TLX!$A$2:$A$86,A34)</f>
        <v/>
      </c>
      <c r="G34">
        <f>AVERAGEIFS(TLX!$E$2:$E$86,TLX!$A$2:$A$86,A34)</f>
        <v/>
      </c>
      <c r="H34">
        <f>AVERAGEIFS(TLX!$F$2:$F$86,TLX!$A$2:$A$86,A34)</f>
        <v/>
      </c>
      <c r="I34">
        <f>AVERAGEIFS(TLX!$G$2:$G$86,TLX!$A$2:$A$86,A34)</f>
        <v/>
      </c>
      <c r="J34">
        <f>IFERROR(AVERAGEIFS(TOAST!$K$2:$K$86,TOAST!$A$2:$A$86,A34),NA())</f>
        <v/>
      </c>
      <c r="K34">
        <f>IFERROR(AVERAGEIFS(TOAST!$L$2:$L$86,TOAST!$A$2:$A$86,A34),NA())</f>
        <v/>
      </c>
      <c r="L34">
        <f>IFERROR(AVERAGEIFS(TOAST!$M$2:$M$86,TOAST!$A$2:$A$86,A34),NA())</f>
        <v/>
      </c>
      <c r="M34">
        <f>AVERAGEIFS(Sessions!$H$2:$H$511,Sessions!$A$2:$A$511,A34)</f>
        <v/>
      </c>
      <c r="N34">
        <f>AVERAGEIFS(Sessions!$U$2:$U$511,Sessions!$A$2:$A$511,A34)</f>
        <v/>
      </c>
      <c r="O34">
        <f>AVERAGEIFS(Sessions!$I$2:$I$511,Sessions!$A$2:$A$511,A34)</f>
        <v/>
      </c>
      <c r="P34">
        <f>_xlfn.RANK.AVG(C34,$C$2:$C$86,1)</f>
        <v/>
      </c>
      <c r="Q34">
        <f>_xlfn.RANK.AVG(D34,$D$2:$D$86,1)</f>
        <v/>
      </c>
      <c r="R34">
        <f>_xlfn.RANK.AVG(L34,$L$2:$L$86,1)</f>
        <v/>
      </c>
      <c r="S34">
        <f>_xlfn.RANK.AVG(M34,$M$2:$M$86,1)</f>
        <v/>
      </c>
    </row>
    <row r="35">
      <c r="A35" t="inlineStr">
        <is>
          <t>user_0043</t>
        </is>
      </c>
      <c r="B35">
        <f>VLOOKUP(A35,Participants!$A$2:$B$86,2,FALSE)</f>
        <v/>
      </c>
      <c r="C35">
        <f>AVERAGEIFS(SUS!$W$2:$W$86,SUS!$A$2:$A$86,A35)</f>
        <v/>
      </c>
      <c r="D35">
        <f>AVERAGEIFS(TLX!$H$2:$H$86,TLX!$A$2:$A$86,A35)</f>
        <v/>
      </c>
      <c r="E35">
        <f>AVERAGEIFS(TLX!$B$2:$B$86,TLX!$A$2:$A$86,A35)</f>
        <v/>
      </c>
      <c r="F35">
        <f>AVERAGEIFS(TLX!$D$2:$D$86,TLX!$A$2:$A$86,A35)</f>
        <v/>
      </c>
      <c r="G35">
        <f>AVERAGEIFS(TLX!$E$2:$E$86,TLX!$A$2:$A$86,A35)</f>
        <v/>
      </c>
      <c r="H35">
        <f>AVERAGEIFS(TLX!$F$2:$F$86,TLX!$A$2:$A$86,A35)</f>
        <v/>
      </c>
      <c r="I35">
        <f>AVERAGEIFS(TLX!$G$2:$G$86,TLX!$A$2:$A$86,A35)</f>
        <v/>
      </c>
      <c r="J35">
        <f>IFERROR(AVERAGEIFS(TOAST!$K$2:$K$86,TOAST!$A$2:$A$86,A35),NA())</f>
        <v/>
      </c>
      <c r="K35">
        <f>IFERROR(AVERAGEIFS(TOAST!$L$2:$L$86,TOAST!$A$2:$A$86,A35),NA())</f>
        <v/>
      </c>
      <c r="L35">
        <f>IFERROR(AVERAGEIFS(TOAST!$M$2:$M$86,TOAST!$A$2:$A$86,A35),NA())</f>
        <v/>
      </c>
      <c r="M35">
        <f>AVERAGEIFS(Sessions!$H$2:$H$511,Sessions!$A$2:$A$511,A35)</f>
        <v/>
      </c>
      <c r="N35">
        <f>AVERAGEIFS(Sessions!$U$2:$U$511,Sessions!$A$2:$A$511,A35)</f>
        <v/>
      </c>
      <c r="O35">
        <f>AVERAGEIFS(Sessions!$I$2:$I$511,Sessions!$A$2:$A$511,A35)</f>
        <v/>
      </c>
      <c r="P35">
        <f>_xlfn.RANK.AVG(C35,$C$2:$C$86,1)</f>
        <v/>
      </c>
      <c r="Q35">
        <f>_xlfn.RANK.AVG(D35,$D$2:$D$86,1)</f>
        <v/>
      </c>
      <c r="R35">
        <f>_xlfn.RANK.AVG(L35,$L$2:$L$86,1)</f>
        <v/>
      </c>
      <c r="S35">
        <f>_xlfn.RANK.AVG(M35,$M$2:$M$86,1)</f>
        <v/>
      </c>
    </row>
    <row r="36">
      <c r="A36" t="inlineStr">
        <is>
          <t>user_0045</t>
        </is>
      </c>
      <c r="B36">
        <f>VLOOKUP(A36,Participants!$A$2:$B$86,2,FALSE)</f>
        <v/>
      </c>
      <c r="C36">
        <f>AVERAGEIFS(SUS!$W$2:$W$86,SUS!$A$2:$A$86,A36)</f>
        <v/>
      </c>
      <c r="D36">
        <f>AVERAGEIFS(TLX!$H$2:$H$86,TLX!$A$2:$A$86,A36)</f>
        <v/>
      </c>
      <c r="E36">
        <f>AVERAGEIFS(TLX!$B$2:$B$86,TLX!$A$2:$A$86,A36)</f>
        <v/>
      </c>
      <c r="F36">
        <f>AVERAGEIFS(TLX!$D$2:$D$86,TLX!$A$2:$A$86,A36)</f>
        <v/>
      </c>
      <c r="G36">
        <f>AVERAGEIFS(TLX!$E$2:$E$86,TLX!$A$2:$A$86,A36)</f>
        <v/>
      </c>
      <c r="H36">
        <f>AVERAGEIFS(TLX!$F$2:$F$86,TLX!$A$2:$A$86,A36)</f>
        <v/>
      </c>
      <c r="I36">
        <f>AVERAGEIFS(TLX!$G$2:$G$86,TLX!$A$2:$A$86,A36)</f>
        <v/>
      </c>
      <c r="J36">
        <f>IFERROR(AVERAGEIFS(TOAST!$K$2:$K$86,TOAST!$A$2:$A$86,A36),NA())</f>
        <v/>
      </c>
      <c r="K36">
        <f>IFERROR(AVERAGEIFS(TOAST!$L$2:$L$86,TOAST!$A$2:$A$86,A36),NA())</f>
        <v/>
      </c>
      <c r="L36">
        <f>IFERROR(AVERAGEIFS(TOAST!$M$2:$M$86,TOAST!$A$2:$A$86,A36),NA())</f>
        <v/>
      </c>
      <c r="M36">
        <f>AVERAGEIFS(Sessions!$H$2:$H$511,Sessions!$A$2:$A$511,A36)</f>
        <v/>
      </c>
      <c r="N36">
        <f>AVERAGEIFS(Sessions!$U$2:$U$511,Sessions!$A$2:$A$511,A36)</f>
        <v/>
      </c>
      <c r="O36">
        <f>AVERAGEIFS(Sessions!$I$2:$I$511,Sessions!$A$2:$A$511,A36)</f>
        <v/>
      </c>
      <c r="P36">
        <f>_xlfn.RANK.AVG(C36,$C$2:$C$86,1)</f>
        <v/>
      </c>
      <c r="Q36">
        <f>_xlfn.RANK.AVG(D36,$D$2:$D$86,1)</f>
        <v/>
      </c>
      <c r="R36">
        <f>_xlfn.RANK.AVG(L36,$L$2:$L$86,1)</f>
        <v/>
      </c>
      <c r="S36">
        <f>_xlfn.RANK.AVG(M36,$M$2:$M$86,1)</f>
        <v/>
      </c>
    </row>
    <row r="37">
      <c r="A37" t="inlineStr">
        <is>
          <t>user_0046</t>
        </is>
      </c>
      <c r="B37">
        <f>VLOOKUP(A37,Participants!$A$2:$B$86,2,FALSE)</f>
        <v/>
      </c>
      <c r="C37">
        <f>AVERAGEIFS(SUS!$W$2:$W$86,SUS!$A$2:$A$86,A37)</f>
        <v/>
      </c>
      <c r="D37">
        <f>AVERAGEIFS(TLX!$H$2:$H$86,TLX!$A$2:$A$86,A37)</f>
        <v/>
      </c>
      <c r="E37">
        <f>AVERAGEIFS(TLX!$B$2:$B$86,TLX!$A$2:$A$86,A37)</f>
        <v/>
      </c>
      <c r="F37">
        <f>AVERAGEIFS(TLX!$D$2:$D$86,TLX!$A$2:$A$86,A37)</f>
        <v/>
      </c>
      <c r="G37">
        <f>AVERAGEIFS(TLX!$E$2:$E$86,TLX!$A$2:$A$86,A37)</f>
        <v/>
      </c>
      <c r="H37">
        <f>AVERAGEIFS(TLX!$F$2:$F$86,TLX!$A$2:$A$86,A37)</f>
        <v/>
      </c>
      <c r="I37">
        <f>AVERAGEIFS(TLX!$G$2:$G$86,TLX!$A$2:$A$86,A37)</f>
        <v/>
      </c>
      <c r="J37">
        <f>IFERROR(AVERAGEIFS(TOAST!$K$2:$K$86,TOAST!$A$2:$A$86,A37),NA())</f>
        <v/>
      </c>
      <c r="K37">
        <f>IFERROR(AVERAGEIFS(TOAST!$L$2:$L$86,TOAST!$A$2:$A$86,A37),NA())</f>
        <v/>
      </c>
      <c r="L37">
        <f>IFERROR(AVERAGEIFS(TOAST!$M$2:$M$86,TOAST!$A$2:$A$86,A37),NA())</f>
        <v/>
      </c>
      <c r="M37">
        <f>AVERAGEIFS(Sessions!$H$2:$H$511,Sessions!$A$2:$A$511,A37)</f>
        <v/>
      </c>
      <c r="N37">
        <f>AVERAGEIFS(Sessions!$U$2:$U$511,Sessions!$A$2:$A$511,A37)</f>
        <v/>
      </c>
      <c r="O37">
        <f>AVERAGEIFS(Sessions!$I$2:$I$511,Sessions!$A$2:$A$511,A37)</f>
        <v/>
      </c>
      <c r="P37">
        <f>_xlfn.RANK.AVG(C37,$C$2:$C$86,1)</f>
        <v/>
      </c>
      <c r="Q37">
        <f>_xlfn.RANK.AVG(D37,$D$2:$D$86,1)</f>
        <v/>
      </c>
      <c r="R37">
        <f>_xlfn.RANK.AVG(L37,$L$2:$L$86,1)</f>
        <v/>
      </c>
      <c r="S37">
        <f>_xlfn.RANK.AVG(M37,$M$2:$M$86,1)</f>
        <v/>
      </c>
    </row>
    <row r="38">
      <c r="A38" t="inlineStr">
        <is>
          <t>user_0047</t>
        </is>
      </c>
      <c r="B38">
        <f>VLOOKUP(A38,Participants!$A$2:$B$86,2,FALSE)</f>
        <v/>
      </c>
      <c r="C38">
        <f>AVERAGEIFS(SUS!$W$2:$W$86,SUS!$A$2:$A$86,A38)</f>
        <v/>
      </c>
      <c r="D38">
        <f>AVERAGEIFS(TLX!$H$2:$H$86,TLX!$A$2:$A$86,A38)</f>
        <v/>
      </c>
      <c r="E38">
        <f>AVERAGEIFS(TLX!$B$2:$B$86,TLX!$A$2:$A$86,A38)</f>
        <v/>
      </c>
      <c r="F38">
        <f>AVERAGEIFS(TLX!$D$2:$D$86,TLX!$A$2:$A$86,A38)</f>
        <v/>
      </c>
      <c r="G38">
        <f>AVERAGEIFS(TLX!$E$2:$E$86,TLX!$A$2:$A$86,A38)</f>
        <v/>
      </c>
      <c r="H38">
        <f>AVERAGEIFS(TLX!$F$2:$F$86,TLX!$A$2:$A$86,A38)</f>
        <v/>
      </c>
      <c r="I38">
        <f>AVERAGEIFS(TLX!$G$2:$G$86,TLX!$A$2:$A$86,A38)</f>
        <v/>
      </c>
      <c r="J38">
        <f>IFERROR(AVERAGEIFS(TOAST!$K$2:$K$86,TOAST!$A$2:$A$86,A38),NA())</f>
        <v/>
      </c>
      <c r="K38">
        <f>IFERROR(AVERAGEIFS(TOAST!$L$2:$L$86,TOAST!$A$2:$A$86,A38),NA())</f>
        <v/>
      </c>
      <c r="L38">
        <f>IFERROR(AVERAGEIFS(TOAST!$M$2:$M$86,TOAST!$A$2:$A$86,A38),NA())</f>
        <v/>
      </c>
      <c r="M38">
        <f>AVERAGEIFS(Sessions!$H$2:$H$511,Sessions!$A$2:$A$511,A38)</f>
        <v/>
      </c>
      <c r="N38">
        <f>AVERAGEIFS(Sessions!$U$2:$U$511,Sessions!$A$2:$A$511,A38)</f>
        <v/>
      </c>
      <c r="O38">
        <f>AVERAGEIFS(Sessions!$I$2:$I$511,Sessions!$A$2:$A$511,A38)</f>
        <v/>
      </c>
      <c r="P38">
        <f>_xlfn.RANK.AVG(C38,$C$2:$C$86,1)</f>
        <v/>
      </c>
      <c r="Q38">
        <f>_xlfn.RANK.AVG(D38,$D$2:$D$86,1)</f>
        <v/>
      </c>
      <c r="R38">
        <f>_xlfn.RANK.AVG(L38,$L$2:$L$86,1)</f>
        <v/>
      </c>
      <c r="S38">
        <f>_xlfn.RANK.AVG(M38,$M$2:$M$86,1)</f>
        <v/>
      </c>
    </row>
    <row r="39">
      <c r="A39" t="inlineStr">
        <is>
          <t>user_0048</t>
        </is>
      </c>
      <c r="B39">
        <f>VLOOKUP(A39,Participants!$A$2:$B$86,2,FALSE)</f>
        <v/>
      </c>
      <c r="C39">
        <f>AVERAGEIFS(SUS!$W$2:$W$86,SUS!$A$2:$A$86,A39)</f>
        <v/>
      </c>
      <c r="D39">
        <f>AVERAGEIFS(TLX!$H$2:$H$86,TLX!$A$2:$A$86,A39)</f>
        <v/>
      </c>
      <c r="E39">
        <f>AVERAGEIFS(TLX!$B$2:$B$86,TLX!$A$2:$A$86,A39)</f>
        <v/>
      </c>
      <c r="F39">
        <f>AVERAGEIFS(TLX!$D$2:$D$86,TLX!$A$2:$A$86,A39)</f>
        <v/>
      </c>
      <c r="G39">
        <f>AVERAGEIFS(TLX!$E$2:$E$86,TLX!$A$2:$A$86,A39)</f>
        <v/>
      </c>
      <c r="H39">
        <f>AVERAGEIFS(TLX!$F$2:$F$86,TLX!$A$2:$A$86,A39)</f>
        <v/>
      </c>
      <c r="I39">
        <f>AVERAGEIFS(TLX!$G$2:$G$86,TLX!$A$2:$A$86,A39)</f>
        <v/>
      </c>
      <c r="J39">
        <f>IFERROR(AVERAGEIFS(TOAST!$K$2:$K$86,TOAST!$A$2:$A$86,A39),NA())</f>
        <v/>
      </c>
      <c r="K39">
        <f>IFERROR(AVERAGEIFS(TOAST!$L$2:$L$86,TOAST!$A$2:$A$86,A39),NA())</f>
        <v/>
      </c>
      <c r="L39">
        <f>IFERROR(AVERAGEIFS(TOAST!$M$2:$M$86,TOAST!$A$2:$A$86,A39),NA())</f>
        <v/>
      </c>
      <c r="M39">
        <f>AVERAGEIFS(Sessions!$H$2:$H$511,Sessions!$A$2:$A$511,A39)</f>
        <v/>
      </c>
      <c r="N39">
        <f>AVERAGEIFS(Sessions!$U$2:$U$511,Sessions!$A$2:$A$511,A39)</f>
        <v/>
      </c>
      <c r="O39">
        <f>AVERAGEIFS(Sessions!$I$2:$I$511,Sessions!$A$2:$A$511,A39)</f>
        <v/>
      </c>
      <c r="P39">
        <f>_xlfn.RANK.AVG(C39,$C$2:$C$86,1)</f>
        <v/>
      </c>
      <c r="Q39">
        <f>_xlfn.RANK.AVG(D39,$D$2:$D$86,1)</f>
        <v/>
      </c>
      <c r="R39">
        <f>_xlfn.RANK.AVG(L39,$L$2:$L$86,1)</f>
        <v/>
      </c>
      <c r="S39">
        <f>_xlfn.RANK.AVG(M39,$M$2:$M$86,1)</f>
        <v/>
      </c>
    </row>
    <row r="40">
      <c r="A40" t="inlineStr">
        <is>
          <t>user_0049</t>
        </is>
      </c>
      <c r="B40">
        <f>VLOOKUP(A40,Participants!$A$2:$B$86,2,FALSE)</f>
        <v/>
      </c>
      <c r="C40">
        <f>AVERAGEIFS(SUS!$W$2:$W$86,SUS!$A$2:$A$86,A40)</f>
        <v/>
      </c>
      <c r="D40">
        <f>AVERAGEIFS(TLX!$H$2:$H$86,TLX!$A$2:$A$86,A40)</f>
        <v/>
      </c>
      <c r="E40">
        <f>AVERAGEIFS(TLX!$B$2:$B$86,TLX!$A$2:$A$86,A40)</f>
        <v/>
      </c>
      <c r="F40">
        <f>AVERAGEIFS(TLX!$D$2:$D$86,TLX!$A$2:$A$86,A40)</f>
        <v/>
      </c>
      <c r="G40">
        <f>AVERAGEIFS(TLX!$E$2:$E$86,TLX!$A$2:$A$86,A40)</f>
        <v/>
      </c>
      <c r="H40">
        <f>AVERAGEIFS(TLX!$F$2:$F$86,TLX!$A$2:$A$86,A40)</f>
        <v/>
      </c>
      <c r="I40">
        <f>AVERAGEIFS(TLX!$G$2:$G$86,TLX!$A$2:$A$86,A40)</f>
        <v/>
      </c>
      <c r="J40">
        <f>IFERROR(AVERAGEIFS(TOAST!$K$2:$K$86,TOAST!$A$2:$A$86,A40),NA())</f>
        <v/>
      </c>
      <c r="K40">
        <f>IFERROR(AVERAGEIFS(TOAST!$L$2:$L$86,TOAST!$A$2:$A$86,A40),NA())</f>
        <v/>
      </c>
      <c r="L40">
        <f>IFERROR(AVERAGEIFS(TOAST!$M$2:$M$86,TOAST!$A$2:$A$86,A40),NA())</f>
        <v/>
      </c>
      <c r="M40">
        <f>AVERAGEIFS(Sessions!$H$2:$H$511,Sessions!$A$2:$A$511,A40)</f>
        <v/>
      </c>
      <c r="N40">
        <f>AVERAGEIFS(Sessions!$U$2:$U$511,Sessions!$A$2:$A$511,A40)</f>
        <v/>
      </c>
      <c r="O40">
        <f>AVERAGEIFS(Sessions!$I$2:$I$511,Sessions!$A$2:$A$511,A40)</f>
        <v/>
      </c>
      <c r="P40">
        <f>_xlfn.RANK.AVG(C40,$C$2:$C$86,1)</f>
        <v/>
      </c>
      <c r="Q40">
        <f>_xlfn.RANK.AVG(D40,$D$2:$D$86,1)</f>
        <v/>
      </c>
      <c r="R40">
        <f>_xlfn.RANK.AVG(L40,$L$2:$L$86,1)</f>
        <v/>
      </c>
      <c r="S40">
        <f>_xlfn.RANK.AVG(M40,$M$2:$M$86,1)</f>
        <v/>
      </c>
    </row>
    <row r="41">
      <c r="A41" t="inlineStr">
        <is>
          <t>user_0050</t>
        </is>
      </c>
      <c r="B41">
        <f>VLOOKUP(A41,Participants!$A$2:$B$86,2,FALSE)</f>
        <v/>
      </c>
      <c r="C41">
        <f>AVERAGEIFS(SUS!$W$2:$W$86,SUS!$A$2:$A$86,A41)</f>
        <v/>
      </c>
      <c r="D41">
        <f>AVERAGEIFS(TLX!$H$2:$H$86,TLX!$A$2:$A$86,A41)</f>
        <v/>
      </c>
      <c r="E41">
        <f>AVERAGEIFS(TLX!$B$2:$B$86,TLX!$A$2:$A$86,A41)</f>
        <v/>
      </c>
      <c r="F41">
        <f>AVERAGEIFS(TLX!$D$2:$D$86,TLX!$A$2:$A$86,A41)</f>
        <v/>
      </c>
      <c r="G41">
        <f>AVERAGEIFS(TLX!$E$2:$E$86,TLX!$A$2:$A$86,A41)</f>
        <v/>
      </c>
      <c r="H41">
        <f>AVERAGEIFS(TLX!$F$2:$F$86,TLX!$A$2:$A$86,A41)</f>
        <v/>
      </c>
      <c r="I41">
        <f>AVERAGEIFS(TLX!$G$2:$G$86,TLX!$A$2:$A$86,A41)</f>
        <v/>
      </c>
      <c r="J41">
        <f>IFERROR(AVERAGEIFS(TOAST!$K$2:$K$86,TOAST!$A$2:$A$86,A41),NA())</f>
        <v/>
      </c>
      <c r="K41">
        <f>IFERROR(AVERAGEIFS(TOAST!$L$2:$L$86,TOAST!$A$2:$A$86,A41),NA())</f>
        <v/>
      </c>
      <c r="L41">
        <f>IFERROR(AVERAGEIFS(TOAST!$M$2:$M$86,TOAST!$A$2:$A$86,A41),NA())</f>
        <v/>
      </c>
      <c r="M41">
        <f>AVERAGEIFS(Sessions!$H$2:$H$511,Sessions!$A$2:$A$511,A41)</f>
        <v/>
      </c>
      <c r="N41">
        <f>AVERAGEIFS(Sessions!$U$2:$U$511,Sessions!$A$2:$A$511,A41)</f>
        <v/>
      </c>
      <c r="O41">
        <f>AVERAGEIFS(Sessions!$I$2:$I$511,Sessions!$A$2:$A$511,A41)</f>
        <v/>
      </c>
      <c r="P41">
        <f>_xlfn.RANK.AVG(C41,$C$2:$C$86,1)</f>
        <v/>
      </c>
      <c r="Q41">
        <f>_xlfn.RANK.AVG(D41,$D$2:$D$86,1)</f>
        <v/>
      </c>
      <c r="R41">
        <f>_xlfn.RANK.AVG(L41,$L$2:$L$86,1)</f>
        <v/>
      </c>
      <c r="S41">
        <f>_xlfn.RANK.AVG(M41,$M$2:$M$86,1)</f>
        <v/>
      </c>
    </row>
    <row r="42">
      <c r="A42" t="inlineStr">
        <is>
          <t>user_0051</t>
        </is>
      </c>
      <c r="B42">
        <f>VLOOKUP(A42,Participants!$A$2:$B$86,2,FALSE)</f>
        <v/>
      </c>
      <c r="C42">
        <f>AVERAGEIFS(SUS!$W$2:$W$86,SUS!$A$2:$A$86,A42)</f>
        <v/>
      </c>
      <c r="D42">
        <f>AVERAGEIFS(TLX!$H$2:$H$86,TLX!$A$2:$A$86,A42)</f>
        <v/>
      </c>
      <c r="E42">
        <f>AVERAGEIFS(TLX!$B$2:$B$86,TLX!$A$2:$A$86,A42)</f>
        <v/>
      </c>
      <c r="F42">
        <f>AVERAGEIFS(TLX!$D$2:$D$86,TLX!$A$2:$A$86,A42)</f>
        <v/>
      </c>
      <c r="G42">
        <f>AVERAGEIFS(TLX!$E$2:$E$86,TLX!$A$2:$A$86,A42)</f>
        <v/>
      </c>
      <c r="H42">
        <f>AVERAGEIFS(TLX!$F$2:$F$86,TLX!$A$2:$A$86,A42)</f>
        <v/>
      </c>
      <c r="I42">
        <f>AVERAGEIFS(TLX!$G$2:$G$86,TLX!$A$2:$A$86,A42)</f>
        <v/>
      </c>
      <c r="J42">
        <f>IFERROR(AVERAGEIFS(TOAST!$K$2:$K$86,TOAST!$A$2:$A$86,A42),NA())</f>
        <v/>
      </c>
      <c r="K42">
        <f>IFERROR(AVERAGEIFS(TOAST!$L$2:$L$86,TOAST!$A$2:$A$86,A42),NA())</f>
        <v/>
      </c>
      <c r="L42">
        <f>IFERROR(AVERAGEIFS(TOAST!$M$2:$M$86,TOAST!$A$2:$A$86,A42),NA())</f>
        <v/>
      </c>
      <c r="M42">
        <f>AVERAGEIFS(Sessions!$H$2:$H$511,Sessions!$A$2:$A$511,A42)</f>
        <v/>
      </c>
      <c r="N42">
        <f>AVERAGEIFS(Sessions!$U$2:$U$511,Sessions!$A$2:$A$511,A42)</f>
        <v/>
      </c>
      <c r="O42">
        <f>AVERAGEIFS(Sessions!$I$2:$I$511,Sessions!$A$2:$A$511,A42)</f>
        <v/>
      </c>
      <c r="P42">
        <f>_xlfn.RANK.AVG(C42,$C$2:$C$86,1)</f>
        <v/>
      </c>
      <c r="Q42">
        <f>_xlfn.RANK.AVG(D42,$D$2:$D$86,1)</f>
        <v/>
      </c>
      <c r="R42">
        <f>_xlfn.RANK.AVG(L42,$L$2:$L$86,1)</f>
        <v/>
      </c>
      <c r="S42">
        <f>_xlfn.RANK.AVG(M42,$M$2:$M$86,1)</f>
        <v/>
      </c>
    </row>
    <row r="43">
      <c r="A43" t="inlineStr">
        <is>
          <t>user_0055</t>
        </is>
      </c>
      <c r="B43">
        <f>VLOOKUP(A43,Participants!$A$2:$B$86,2,FALSE)</f>
        <v/>
      </c>
      <c r="C43">
        <f>AVERAGEIFS(SUS!$W$2:$W$86,SUS!$A$2:$A$86,A43)</f>
        <v/>
      </c>
      <c r="D43">
        <f>AVERAGEIFS(TLX!$H$2:$H$86,TLX!$A$2:$A$86,A43)</f>
        <v/>
      </c>
      <c r="E43">
        <f>AVERAGEIFS(TLX!$B$2:$B$86,TLX!$A$2:$A$86,A43)</f>
        <v/>
      </c>
      <c r="F43">
        <f>AVERAGEIFS(TLX!$D$2:$D$86,TLX!$A$2:$A$86,A43)</f>
        <v/>
      </c>
      <c r="G43">
        <f>AVERAGEIFS(TLX!$E$2:$E$86,TLX!$A$2:$A$86,A43)</f>
        <v/>
      </c>
      <c r="H43">
        <f>AVERAGEIFS(TLX!$F$2:$F$86,TLX!$A$2:$A$86,A43)</f>
        <v/>
      </c>
      <c r="I43">
        <f>AVERAGEIFS(TLX!$G$2:$G$86,TLX!$A$2:$A$86,A43)</f>
        <v/>
      </c>
      <c r="J43">
        <f>IFERROR(AVERAGEIFS(TOAST!$K$2:$K$86,TOAST!$A$2:$A$86,A43),NA())</f>
        <v/>
      </c>
      <c r="K43">
        <f>IFERROR(AVERAGEIFS(TOAST!$L$2:$L$86,TOAST!$A$2:$A$86,A43),NA())</f>
        <v/>
      </c>
      <c r="L43">
        <f>IFERROR(AVERAGEIFS(TOAST!$M$2:$M$86,TOAST!$A$2:$A$86,A43),NA())</f>
        <v/>
      </c>
      <c r="M43">
        <f>AVERAGEIFS(Sessions!$H$2:$H$511,Sessions!$A$2:$A$511,A43)</f>
        <v/>
      </c>
      <c r="N43">
        <f>AVERAGEIFS(Sessions!$U$2:$U$511,Sessions!$A$2:$A$511,A43)</f>
        <v/>
      </c>
      <c r="O43">
        <f>AVERAGEIFS(Sessions!$I$2:$I$511,Sessions!$A$2:$A$511,A43)</f>
        <v/>
      </c>
      <c r="P43">
        <f>_xlfn.RANK.AVG(C43,$C$2:$C$86,1)</f>
        <v/>
      </c>
      <c r="Q43">
        <f>_xlfn.RANK.AVG(D43,$D$2:$D$86,1)</f>
        <v/>
      </c>
      <c r="R43">
        <f>_xlfn.RANK.AVG(L43,$L$2:$L$86,1)</f>
        <v/>
      </c>
      <c r="S43">
        <f>_xlfn.RANK.AVG(M43,$M$2:$M$86,1)</f>
        <v/>
      </c>
    </row>
    <row r="44">
      <c r="A44" t="inlineStr">
        <is>
          <t>user_0061</t>
        </is>
      </c>
      <c r="B44">
        <f>VLOOKUP(A44,Participants!$A$2:$B$86,2,FALSE)</f>
        <v/>
      </c>
      <c r="C44">
        <f>AVERAGEIFS(SUS!$W$2:$W$86,SUS!$A$2:$A$86,A44)</f>
        <v/>
      </c>
      <c r="D44">
        <f>AVERAGEIFS(TLX!$H$2:$H$86,TLX!$A$2:$A$86,A44)</f>
        <v/>
      </c>
      <c r="E44">
        <f>AVERAGEIFS(TLX!$B$2:$B$86,TLX!$A$2:$A$86,A44)</f>
        <v/>
      </c>
      <c r="F44">
        <f>AVERAGEIFS(TLX!$D$2:$D$86,TLX!$A$2:$A$86,A44)</f>
        <v/>
      </c>
      <c r="G44">
        <f>AVERAGEIFS(TLX!$E$2:$E$86,TLX!$A$2:$A$86,A44)</f>
        <v/>
      </c>
      <c r="H44">
        <f>AVERAGEIFS(TLX!$F$2:$F$86,TLX!$A$2:$A$86,A44)</f>
        <v/>
      </c>
      <c r="I44">
        <f>AVERAGEIFS(TLX!$G$2:$G$86,TLX!$A$2:$A$86,A44)</f>
        <v/>
      </c>
      <c r="J44">
        <f>IFERROR(AVERAGEIFS(TOAST!$K$2:$K$86,TOAST!$A$2:$A$86,A44),NA())</f>
        <v/>
      </c>
      <c r="K44">
        <f>IFERROR(AVERAGEIFS(TOAST!$L$2:$L$86,TOAST!$A$2:$A$86,A44),NA())</f>
        <v/>
      </c>
      <c r="L44">
        <f>IFERROR(AVERAGEIFS(TOAST!$M$2:$M$86,TOAST!$A$2:$A$86,A44),NA())</f>
        <v/>
      </c>
      <c r="M44">
        <f>AVERAGEIFS(Sessions!$H$2:$H$511,Sessions!$A$2:$A$511,A44)</f>
        <v/>
      </c>
      <c r="N44">
        <f>AVERAGEIFS(Sessions!$U$2:$U$511,Sessions!$A$2:$A$511,A44)</f>
        <v/>
      </c>
      <c r="O44">
        <f>AVERAGEIFS(Sessions!$I$2:$I$511,Sessions!$A$2:$A$511,A44)</f>
        <v/>
      </c>
      <c r="P44">
        <f>_xlfn.RANK.AVG(C44,$C$2:$C$86,1)</f>
        <v/>
      </c>
      <c r="Q44">
        <f>_xlfn.RANK.AVG(D44,$D$2:$D$86,1)</f>
        <v/>
      </c>
      <c r="R44">
        <f>_xlfn.RANK.AVG(L44,$L$2:$L$86,1)</f>
        <v/>
      </c>
      <c r="S44">
        <f>_xlfn.RANK.AVG(M44,$M$2:$M$86,1)</f>
        <v/>
      </c>
    </row>
    <row r="45">
      <c r="A45" t="inlineStr">
        <is>
          <t>user_0065</t>
        </is>
      </c>
      <c r="B45">
        <f>VLOOKUP(A45,Participants!$A$2:$B$86,2,FALSE)</f>
        <v/>
      </c>
      <c r="C45">
        <f>AVERAGEIFS(SUS!$W$2:$W$86,SUS!$A$2:$A$86,A45)</f>
        <v/>
      </c>
      <c r="D45">
        <f>AVERAGEIFS(TLX!$H$2:$H$86,TLX!$A$2:$A$86,A45)</f>
        <v/>
      </c>
      <c r="E45">
        <f>AVERAGEIFS(TLX!$B$2:$B$86,TLX!$A$2:$A$86,A45)</f>
        <v/>
      </c>
      <c r="F45">
        <f>AVERAGEIFS(TLX!$D$2:$D$86,TLX!$A$2:$A$86,A45)</f>
        <v/>
      </c>
      <c r="G45">
        <f>AVERAGEIFS(TLX!$E$2:$E$86,TLX!$A$2:$A$86,A45)</f>
        <v/>
      </c>
      <c r="H45">
        <f>AVERAGEIFS(TLX!$F$2:$F$86,TLX!$A$2:$A$86,A45)</f>
        <v/>
      </c>
      <c r="I45">
        <f>AVERAGEIFS(TLX!$G$2:$G$86,TLX!$A$2:$A$86,A45)</f>
        <v/>
      </c>
      <c r="J45">
        <f>IFERROR(AVERAGEIFS(TOAST!$K$2:$K$86,TOAST!$A$2:$A$86,A45),NA())</f>
        <v/>
      </c>
      <c r="K45">
        <f>IFERROR(AVERAGEIFS(TOAST!$L$2:$L$86,TOAST!$A$2:$A$86,A45),NA())</f>
        <v/>
      </c>
      <c r="L45">
        <f>IFERROR(AVERAGEIFS(TOAST!$M$2:$M$86,TOAST!$A$2:$A$86,A45),NA())</f>
        <v/>
      </c>
      <c r="M45">
        <f>AVERAGEIFS(Sessions!$H$2:$H$511,Sessions!$A$2:$A$511,A45)</f>
        <v/>
      </c>
      <c r="N45">
        <f>AVERAGEIFS(Sessions!$U$2:$U$511,Sessions!$A$2:$A$511,A45)</f>
        <v/>
      </c>
      <c r="O45">
        <f>AVERAGEIFS(Sessions!$I$2:$I$511,Sessions!$A$2:$A$511,A45)</f>
        <v/>
      </c>
      <c r="P45">
        <f>_xlfn.RANK.AVG(C45,$C$2:$C$86,1)</f>
        <v/>
      </c>
      <c r="Q45">
        <f>_xlfn.RANK.AVG(D45,$D$2:$D$86,1)</f>
        <v/>
      </c>
      <c r="R45">
        <f>_xlfn.RANK.AVG(L45,$L$2:$L$86,1)</f>
        <v/>
      </c>
      <c r="S45">
        <f>_xlfn.RANK.AVG(M45,$M$2:$M$86,1)</f>
        <v/>
      </c>
    </row>
    <row r="46">
      <c r="A46" t="inlineStr">
        <is>
          <t>user_0067</t>
        </is>
      </c>
      <c r="B46">
        <f>VLOOKUP(A46,Participants!$A$2:$B$86,2,FALSE)</f>
        <v/>
      </c>
      <c r="C46">
        <f>AVERAGEIFS(SUS!$W$2:$W$86,SUS!$A$2:$A$86,A46)</f>
        <v/>
      </c>
      <c r="D46">
        <f>AVERAGEIFS(TLX!$H$2:$H$86,TLX!$A$2:$A$86,A46)</f>
        <v/>
      </c>
      <c r="E46">
        <f>AVERAGEIFS(TLX!$B$2:$B$86,TLX!$A$2:$A$86,A46)</f>
        <v/>
      </c>
      <c r="F46">
        <f>AVERAGEIFS(TLX!$D$2:$D$86,TLX!$A$2:$A$86,A46)</f>
        <v/>
      </c>
      <c r="G46">
        <f>AVERAGEIFS(TLX!$E$2:$E$86,TLX!$A$2:$A$86,A46)</f>
        <v/>
      </c>
      <c r="H46">
        <f>AVERAGEIFS(TLX!$F$2:$F$86,TLX!$A$2:$A$86,A46)</f>
        <v/>
      </c>
      <c r="I46">
        <f>AVERAGEIFS(TLX!$G$2:$G$86,TLX!$A$2:$A$86,A46)</f>
        <v/>
      </c>
      <c r="J46">
        <f>IFERROR(AVERAGEIFS(TOAST!$K$2:$K$86,TOAST!$A$2:$A$86,A46),NA())</f>
        <v/>
      </c>
      <c r="K46">
        <f>IFERROR(AVERAGEIFS(TOAST!$L$2:$L$86,TOAST!$A$2:$A$86,A46),NA())</f>
        <v/>
      </c>
      <c r="L46">
        <f>IFERROR(AVERAGEIFS(TOAST!$M$2:$M$86,TOAST!$A$2:$A$86,A46),NA())</f>
        <v/>
      </c>
      <c r="M46">
        <f>AVERAGEIFS(Sessions!$H$2:$H$511,Sessions!$A$2:$A$511,A46)</f>
        <v/>
      </c>
      <c r="N46">
        <f>AVERAGEIFS(Sessions!$U$2:$U$511,Sessions!$A$2:$A$511,A46)</f>
        <v/>
      </c>
      <c r="O46">
        <f>AVERAGEIFS(Sessions!$I$2:$I$511,Sessions!$A$2:$A$511,A46)</f>
        <v/>
      </c>
      <c r="P46">
        <f>_xlfn.RANK.AVG(C46,$C$2:$C$86,1)</f>
        <v/>
      </c>
      <c r="Q46">
        <f>_xlfn.RANK.AVG(D46,$D$2:$D$86,1)</f>
        <v/>
      </c>
      <c r="R46">
        <f>_xlfn.RANK.AVG(L46,$L$2:$L$86,1)</f>
        <v/>
      </c>
      <c r="S46">
        <f>_xlfn.RANK.AVG(M46,$M$2:$M$86,1)</f>
        <v/>
      </c>
    </row>
    <row r="47">
      <c r="A47" t="inlineStr">
        <is>
          <t>user_0101</t>
        </is>
      </c>
      <c r="B47">
        <f>VLOOKUP(A47,Participants!$A$2:$B$86,2,FALSE)</f>
        <v/>
      </c>
      <c r="C47">
        <f>AVERAGEIFS(SUS!$W$2:$W$86,SUS!$A$2:$A$86,A47)</f>
        <v/>
      </c>
      <c r="D47">
        <f>AVERAGEIFS(TLX!$H$2:$H$86,TLX!$A$2:$A$86,A47)</f>
        <v/>
      </c>
      <c r="E47">
        <f>AVERAGEIFS(TLX!$B$2:$B$86,TLX!$A$2:$A$86,A47)</f>
        <v/>
      </c>
      <c r="F47">
        <f>AVERAGEIFS(TLX!$D$2:$D$86,TLX!$A$2:$A$86,A47)</f>
        <v/>
      </c>
      <c r="G47">
        <f>AVERAGEIFS(TLX!$E$2:$E$86,TLX!$A$2:$A$86,A47)</f>
        <v/>
      </c>
      <c r="H47">
        <f>AVERAGEIFS(TLX!$F$2:$F$86,TLX!$A$2:$A$86,A47)</f>
        <v/>
      </c>
      <c r="I47">
        <f>AVERAGEIFS(TLX!$G$2:$G$86,TLX!$A$2:$A$86,A47)</f>
        <v/>
      </c>
      <c r="J47">
        <f>IFERROR(AVERAGEIFS(TOAST!$K$2:$K$86,TOAST!$A$2:$A$86,A47),NA())</f>
        <v/>
      </c>
      <c r="K47">
        <f>IFERROR(AVERAGEIFS(TOAST!$L$2:$L$86,TOAST!$A$2:$A$86,A47),NA())</f>
        <v/>
      </c>
      <c r="L47">
        <f>IFERROR(AVERAGEIFS(TOAST!$M$2:$M$86,TOAST!$A$2:$A$86,A47),NA())</f>
        <v/>
      </c>
      <c r="M47">
        <f>AVERAGEIFS(Sessions!$H$2:$H$511,Sessions!$A$2:$A$511,A47)</f>
        <v/>
      </c>
      <c r="N47">
        <f>AVERAGEIFS(Sessions!$U$2:$U$511,Sessions!$A$2:$A$511,A47)</f>
        <v/>
      </c>
      <c r="O47">
        <f>AVERAGEIFS(Sessions!$I$2:$I$511,Sessions!$A$2:$A$511,A47)</f>
        <v/>
      </c>
      <c r="P47">
        <f>_xlfn.RANK.AVG(C47,$C$2:$C$86,1)</f>
        <v/>
      </c>
      <c r="Q47">
        <f>_xlfn.RANK.AVG(D47,$D$2:$D$86,1)</f>
        <v/>
      </c>
      <c r="R47">
        <f>_xlfn.RANK.AVG(L47,$L$2:$L$86,1)</f>
        <v/>
      </c>
      <c r="S47">
        <f>_xlfn.RANK.AVG(M47,$M$2:$M$86,1)</f>
        <v/>
      </c>
    </row>
    <row r="48">
      <c r="A48" t="inlineStr">
        <is>
          <t>user_0102</t>
        </is>
      </c>
      <c r="B48">
        <f>VLOOKUP(A48,Participants!$A$2:$B$86,2,FALSE)</f>
        <v/>
      </c>
      <c r="C48">
        <f>AVERAGEIFS(SUS!$W$2:$W$86,SUS!$A$2:$A$86,A48)</f>
        <v/>
      </c>
      <c r="D48">
        <f>AVERAGEIFS(TLX!$H$2:$H$86,TLX!$A$2:$A$86,A48)</f>
        <v/>
      </c>
      <c r="E48">
        <f>AVERAGEIFS(TLX!$B$2:$B$86,TLX!$A$2:$A$86,A48)</f>
        <v/>
      </c>
      <c r="F48">
        <f>AVERAGEIFS(TLX!$D$2:$D$86,TLX!$A$2:$A$86,A48)</f>
        <v/>
      </c>
      <c r="G48">
        <f>AVERAGEIFS(TLX!$E$2:$E$86,TLX!$A$2:$A$86,A48)</f>
        <v/>
      </c>
      <c r="H48">
        <f>AVERAGEIFS(TLX!$F$2:$F$86,TLX!$A$2:$A$86,A48)</f>
        <v/>
      </c>
      <c r="I48">
        <f>AVERAGEIFS(TLX!$G$2:$G$86,TLX!$A$2:$A$86,A48)</f>
        <v/>
      </c>
      <c r="J48">
        <f>IFERROR(AVERAGEIFS(TOAST!$K$2:$K$86,TOAST!$A$2:$A$86,A48),NA())</f>
        <v/>
      </c>
      <c r="K48">
        <f>IFERROR(AVERAGEIFS(TOAST!$L$2:$L$86,TOAST!$A$2:$A$86,A48),NA())</f>
        <v/>
      </c>
      <c r="L48">
        <f>IFERROR(AVERAGEIFS(TOAST!$M$2:$M$86,TOAST!$A$2:$A$86,A48),NA())</f>
        <v/>
      </c>
      <c r="M48">
        <f>AVERAGEIFS(Sessions!$H$2:$H$511,Sessions!$A$2:$A$511,A48)</f>
        <v/>
      </c>
      <c r="N48">
        <f>AVERAGEIFS(Sessions!$U$2:$U$511,Sessions!$A$2:$A$511,A48)</f>
        <v/>
      </c>
      <c r="O48">
        <f>AVERAGEIFS(Sessions!$I$2:$I$511,Sessions!$A$2:$A$511,A48)</f>
        <v/>
      </c>
      <c r="P48">
        <f>_xlfn.RANK.AVG(C48,$C$2:$C$86,1)</f>
        <v/>
      </c>
      <c r="Q48">
        <f>_xlfn.RANK.AVG(D48,$D$2:$D$86,1)</f>
        <v/>
      </c>
      <c r="R48">
        <f>_xlfn.RANK.AVG(L48,$L$2:$L$86,1)</f>
        <v/>
      </c>
      <c r="S48">
        <f>_xlfn.RANK.AVG(M48,$M$2:$M$86,1)</f>
        <v/>
      </c>
    </row>
    <row r="49">
      <c r="A49" t="inlineStr">
        <is>
          <t>user_0103</t>
        </is>
      </c>
      <c r="B49">
        <f>VLOOKUP(A49,Participants!$A$2:$B$86,2,FALSE)</f>
        <v/>
      </c>
      <c r="C49">
        <f>AVERAGEIFS(SUS!$W$2:$W$86,SUS!$A$2:$A$86,A49)</f>
        <v/>
      </c>
      <c r="D49">
        <f>AVERAGEIFS(TLX!$H$2:$H$86,TLX!$A$2:$A$86,A49)</f>
        <v/>
      </c>
      <c r="E49">
        <f>AVERAGEIFS(TLX!$B$2:$B$86,TLX!$A$2:$A$86,A49)</f>
        <v/>
      </c>
      <c r="F49">
        <f>AVERAGEIFS(TLX!$D$2:$D$86,TLX!$A$2:$A$86,A49)</f>
        <v/>
      </c>
      <c r="G49">
        <f>AVERAGEIFS(TLX!$E$2:$E$86,TLX!$A$2:$A$86,A49)</f>
        <v/>
      </c>
      <c r="H49">
        <f>AVERAGEIFS(TLX!$F$2:$F$86,TLX!$A$2:$A$86,A49)</f>
        <v/>
      </c>
      <c r="I49">
        <f>AVERAGEIFS(TLX!$G$2:$G$86,TLX!$A$2:$A$86,A49)</f>
        <v/>
      </c>
      <c r="J49">
        <f>IFERROR(AVERAGEIFS(TOAST!$K$2:$K$86,TOAST!$A$2:$A$86,A49),NA())</f>
        <v/>
      </c>
      <c r="K49">
        <f>IFERROR(AVERAGEIFS(TOAST!$L$2:$L$86,TOAST!$A$2:$A$86,A49),NA())</f>
        <v/>
      </c>
      <c r="L49">
        <f>IFERROR(AVERAGEIFS(TOAST!$M$2:$M$86,TOAST!$A$2:$A$86,A49),NA())</f>
        <v/>
      </c>
      <c r="M49">
        <f>AVERAGEIFS(Sessions!$H$2:$H$511,Sessions!$A$2:$A$511,A49)</f>
        <v/>
      </c>
      <c r="N49">
        <f>AVERAGEIFS(Sessions!$U$2:$U$511,Sessions!$A$2:$A$511,A49)</f>
        <v/>
      </c>
      <c r="O49">
        <f>AVERAGEIFS(Sessions!$I$2:$I$511,Sessions!$A$2:$A$511,A49)</f>
        <v/>
      </c>
      <c r="P49">
        <f>_xlfn.RANK.AVG(C49,$C$2:$C$86,1)</f>
        <v/>
      </c>
      <c r="Q49">
        <f>_xlfn.RANK.AVG(D49,$D$2:$D$86,1)</f>
        <v/>
      </c>
      <c r="R49">
        <f>_xlfn.RANK.AVG(L49,$L$2:$L$86,1)</f>
        <v/>
      </c>
      <c r="S49">
        <f>_xlfn.RANK.AVG(M49,$M$2:$M$86,1)</f>
        <v/>
      </c>
    </row>
    <row r="50">
      <c r="A50" t="inlineStr">
        <is>
          <t>user_0104</t>
        </is>
      </c>
      <c r="B50">
        <f>VLOOKUP(A50,Participants!$A$2:$B$86,2,FALSE)</f>
        <v/>
      </c>
      <c r="C50">
        <f>AVERAGEIFS(SUS!$W$2:$W$86,SUS!$A$2:$A$86,A50)</f>
        <v/>
      </c>
      <c r="D50">
        <f>AVERAGEIFS(TLX!$H$2:$H$86,TLX!$A$2:$A$86,A50)</f>
        <v/>
      </c>
      <c r="E50">
        <f>AVERAGEIFS(TLX!$B$2:$B$86,TLX!$A$2:$A$86,A50)</f>
        <v/>
      </c>
      <c r="F50">
        <f>AVERAGEIFS(TLX!$D$2:$D$86,TLX!$A$2:$A$86,A50)</f>
        <v/>
      </c>
      <c r="G50">
        <f>AVERAGEIFS(TLX!$E$2:$E$86,TLX!$A$2:$A$86,A50)</f>
        <v/>
      </c>
      <c r="H50">
        <f>AVERAGEIFS(TLX!$F$2:$F$86,TLX!$A$2:$A$86,A50)</f>
        <v/>
      </c>
      <c r="I50">
        <f>AVERAGEIFS(TLX!$G$2:$G$86,TLX!$A$2:$A$86,A50)</f>
        <v/>
      </c>
      <c r="J50">
        <f>IFERROR(AVERAGEIFS(TOAST!$K$2:$K$86,TOAST!$A$2:$A$86,A50),NA())</f>
        <v/>
      </c>
      <c r="K50">
        <f>IFERROR(AVERAGEIFS(TOAST!$L$2:$L$86,TOAST!$A$2:$A$86,A50),NA())</f>
        <v/>
      </c>
      <c r="L50">
        <f>IFERROR(AVERAGEIFS(TOAST!$M$2:$M$86,TOAST!$A$2:$A$86,A50),NA())</f>
        <v/>
      </c>
      <c r="M50">
        <f>AVERAGEIFS(Sessions!$H$2:$H$511,Sessions!$A$2:$A$511,A50)</f>
        <v/>
      </c>
      <c r="N50">
        <f>AVERAGEIFS(Sessions!$U$2:$U$511,Sessions!$A$2:$A$511,A50)</f>
        <v/>
      </c>
      <c r="O50">
        <f>AVERAGEIFS(Sessions!$I$2:$I$511,Sessions!$A$2:$A$511,A50)</f>
        <v/>
      </c>
      <c r="P50">
        <f>_xlfn.RANK.AVG(C50,$C$2:$C$86,1)</f>
        <v/>
      </c>
      <c r="Q50">
        <f>_xlfn.RANK.AVG(D50,$D$2:$D$86,1)</f>
        <v/>
      </c>
      <c r="R50">
        <f>_xlfn.RANK.AVG(L50,$L$2:$L$86,1)</f>
        <v/>
      </c>
      <c r="S50">
        <f>_xlfn.RANK.AVG(M50,$M$2:$M$86,1)</f>
        <v/>
      </c>
    </row>
    <row r="51">
      <c r="A51" t="inlineStr">
        <is>
          <t>user_0105</t>
        </is>
      </c>
      <c r="B51">
        <f>VLOOKUP(A51,Participants!$A$2:$B$86,2,FALSE)</f>
        <v/>
      </c>
      <c r="C51">
        <f>AVERAGEIFS(SUS!$W$2:$W$86,SUS!$A$2:$A$86,A51)</f>
        <v/>
      </c>
      <c r="D51">
        <f>AVERAGEIFS(TLX!$H$2:$H$86,TLX!$A$2:$A$86,A51)</f>
        <v/>
      </c>
      <c r="E51">
        <f>AVERAGEIFS(TLX!$B$2:$B$86,TLX!$A$2:$A$86,A51)</f>
        <v/>
      </c>
      <c r="F51">
        <f>AVERAGEIFS(TLX!$D$2:$D$86,TLX!$A$2:$A$86,A51)</f>
        <v/>
      </c>
      <c r="G51">
        <f>AVERAGEIFS(TLX!$E$2:$E$86,TLX!$A$2:$A$86,A51)</f>
        <v/>
      </c>
      <c r="H51">
        <f>AVERAGEIFS(TLX!$F$2:$F$86,TLX!$A$2:$A$86,A51)</f>
        <v/>
      </c>
      <c r="I51">
        <f>AVERAGEIFS(TLX!$G$2:$G$86,TLX!$A$2:$A$86,A51)</f>
        <v/>
      </c>
      <c r="J51">
        <f>IFERROR(AVERAGEIFS(TOAST!$K$2:$K$86,TOAST!$A$2:$A$86,A51),NA())</f>
        <v/>
      </c>
      <c r="K51">
        <f>IFERROR(AVERAGEIFS(TOAST!$L$2:$L$86,TOAST!$A$2:$A$86,A51),NA())</f>
        <v/>
      </c>
      <c r="L51">
        <f>IFERROR(AVERAGEIFS(TOAST!$M$2:$M$86,TOAST!$A$2:$A$86,A51),NA())</f>
        <v/>
      </c>
      <c r="M51">
        <f>AVERAGEIFS(Sessions!$H$2:$H$511,Sessions!$A$2:$A$511,A51)</f>
        <v/>
      </c>
      <c r="N51">
        <f>AVERAGEIFS(Sessions!$U$2:$U$511,Sessions!$A$2:$A$511,A51)</f>
        <v/>
      </c>
      <c r="O51">
        <f>AVERAGEIFS(Sessions!$I$2:$I$511,Sessions!$A$2:$A$511,A51)</f>
        <v/>
      </c>
      <c r="P51">
        <f>_xlfn.RANK.AVG(C51,$C$2:$C$86,1)</f>
        <v/>
      </c>
      <c r="Q51">
        <f>_xlfn.RANK.AVG(D51,$D$2:$D$86,1)</f>
        <v/>
      </c>
      <c r="R51">
        <f>_xlfn.RANK.AVG(L51,$L$2:$L$86,1)</f>
        <v/>
      </c>
      <c r="S51">
        <f>_xlfn.RANK.AVG(M51,$M$2:$M$86,1)</f>
        <v/>
      </c>
    </row>
    <row r="52">
      <c r="A52" t="inlineStr">
        <is>
          <t>user_0106</t>
        </is>
      </c>
      <c r="B52">
        <f>VLOOKUP(A52,Participants!$A$2:$B$86,2,FALSE)</f>
        <v/>
      </c>
      <c r="C52">
        <f>AVERAGEIFS(SUS!$W$2:$W$86,SUS!$A$2:$A$86,A52)</f>
        <v/>
      </c>
      <c r="D52">
        <f>AVERAGEIFS(TLX!$H$2:$H$86,TLX!$A$2:$A$86,A52)</f>
        <v/>
      </c>
      <c r="E52">
        <f>AVERAGEIFS(TLX!$B$2:$B$86,TLX!$A$2:$A$86,A52)</f>
        <v/>
      </c>
      <c r="F52">
        <f>AVERAGEIFS(TLX!$D$2:$D$86,TLX!$A$2:$A$86,A52)</f>
        <v/>
      </c>
      <c r="G52">
        <f>AVERAGEIFS(TLX!$E$2:$E$86,TLX!$A$2:$A$86,A52)</f>
        <v/>
      </c>
      <c r="H52">
        <f>AVERAGEIFS(TLX!$F$2:$F$86,TLX!$A$2:$A$86,A52)</f>
        <v/>
      </c>
      <c r="I52">
        <f>AVERAGEIFS(TLX!$G$2:$G$86,TLX!$A$2:$A$86,A52)</f>
        <v/>
      </c>
      <c r="J52">
        <f>IFERROR(AVERAGEIFS(TOAST!$K$2:$K$86,TOAST!$A$2:$A$86,A52),NA())</f>
        <v/>
      </c>
      <c r="K52">
        <f>IFERROR(AVERAGEIFS(TOAST!$L$2:$L$86,TOAST!$A$2:$A$86,A52),NA())</f>
        <v/>
      </c>
      <c r="L52">
        <f>IFERROR(AVERAGEIFS(TOAST!$M$2:$M$86,TOAST!$A$2:$A$86,A52),NA())</f>
        <v/>
      </c>
      <c r="M52">
        <f>AVERAGEIFS(Sessions!$H$2:$H$511,Sessions!$A$2:$A$511,A52)</f>
        <v/>
      </c>
      <c r="N52">
        <f>AVERAGEIFS(Sessions!$U$2:$U$511,Sessions!$A$2:$A$511,A52)</f>
        <v/>
      </c>
      <c r="O52">
        <f>AVERAGEIFS(Sessions!$I$2:$I$511,Sessions!$A$2:$A$511,A52)</f>
        <v/>
      </c>
      <c r="P52">
        <f>_xlfn.RANK.AVG(C52,$C$2:$C$86,1)</f>
        <v/>
      </c>
      <c r="Q52">
        <f>_xlfn.RANK.AVG(D52,$D$2:$D$86,1)</f>
        <v/>
      </c>
      <c r="R52">
        <f>_xlfn.RANK.AVG(L52,$L$2:$L$86,1)</f>
        <v/>
      </c>
      <c r="S52">
        <f>_xlfn.RANK.AVG(M52,$M$2:$M$86,1)</f>
        <v/>
      </c>
    </row>
    <row r="53">
      <c r="A53" t="inlineStr">
        <is>
          <t>user_0107</t>
        </is>
      </c>
      <c r="B53">
        <f>VLOOKUP(A53,Participants!$A$2:$B$86,2,FALSE)</f>
        <v/>
      </c>
      <c r="C53">
        <f>AVERAGEIFS(SUS!$W$2:$W$86,SUS!$A$2:$A$86,A53)</f>
        <v/>
      </c>
      <c r="D53">
        <f>AVERAGEIFS(TLX!$H$2:$H$86,TLX!$A$2:$A$86,A53)</f>
        <v/>
      </c>
      <c r="E53">
        <f>AVERAGEIFS(TLX!$B$2:$B$86,TLX!$A$2:$A$86,A53)</f>
        <v/>
      </c>
      <c r="F53">
        <f>AVERAGEIFS(TLX!$D$2:$D$86,TLX!$A$2:$A$86,A53)</f>
        <v/>
      </c>
      <c r="G53">
        <f>AVERAGEIFS(TLX!$E$2:$E$86,TLX!$A$2:$A$86,A53)</f>
        <v/>
      </c>
      <c r="H53">
        <f>AVERAGEIFS(TLX!$F$2:$F$86,TLX!$A$2:$A$86,A53)</f>
        <v/>
      </c>
      <c r="I53">
        <f>AVERAGEIFS(TLX!$G$2:$G$86,TLX!$A$2:$A$86,A53)</f>
        <v/>
      </c>
      <c r="J53">
        <f>IFERROR(AVERAGEIFS(TOAST!$K$2:$K$86,TOAST!$A$2:$A$86,A53),NA())</f>
        <v/>
      </c>
      <c r="K53">
        <f>IFERROR(AVERAGEIFS(TOAST!$L$2:$L$86,TOAST!$A$2:$A$86,A53),NA())</f>
        <v/>
      </c>
      <c r="L53">
        <f>IFERROR(AVERAGEIFS(TOAST!$M$2:$M$86,TOAST!$A$2:$A$86,A53),NA())</f>
        <v/>
      </c>
      <c r="M53">
        <f>AVERAGEIFS(Sessions!$H$2:$H$511,Sessions!$A$2:$A$511,A53)</f>
        <v/>
      </c>
      <c r="N53">
        <f>AVERAGEIFS(Sessions!$U$2:$U$511,Sessions!$A$2:$A$511,A53)</f>
        <v/>
      </c>
      <c r="O53">
        <f>AVERAGEIFS(Sessions!$I$2:$I$511,Sessions!$A$2:$A$511,A53)</f>
        <v/>
      </c>
      <c r="P53">
        <f>_xlfn.RANK.AVG(C53,$C$2:$C$86,1)</f>
        <v/>
      </c>
      <c r="Q53">
        <f>_xlfn.RANK.AVG(D53,$D$2:$D$86,1)</f>
        <v/>
      </c>
      <c r="R53">
        <f>_xlfn.RANK.AVG(L53,$L$2:$L$86,1)</f>
        <v/>
      </c>
      <c r="S53">
        <f>_xlfn.RANK.AVG(M53,$M$2:$M$86,1)</f>
        <v/>
      </c>
    </row>
    <row r="54">
      <c r="A54" t="inlineStr">
        <is>
          <t>user_0108</t>
        </is>
      </c>
      <c r="B54">
        <f>VLOOKUP(A54,Participants!$A$2:$B$86,2,FALSE)</f>
        <v/>
      </c>
      <c r="C54">
        <f>AVERAGEIFS(SUS!$W$2:$W$86,SUS!$A$2:$A$86,A54)</f>
        <v/>
      </c>
      <c r="D54">
        <f>AVERAGEIFS(TLX!$H$2:$H$86,TLX!$A$2:$A$86,A54)</f>
        <v/>
      </c>
      <c r="E54">
        <f>AVERAGEIFS(TLX!$B$2:$B$86,TLX!$A$2:$A$86,A54)</f>
        <v/>
      </c>
      <c r="F54">
        <f>AVERAGEIFS(TLX!$D$2:$D$86,TLX!$A$2:$A$86,A54)</f>
        <v/>
      </c>
      <c r="G54">
        <f>AVERAGEIFS(TLX!$E$2:$E$86,TLX!$A$2:$A$86,A54)</f>
        <v/>
      </c>
      <c r="H54">
        <f>AVERAGEIFS(TLX!$F$2:$F$86,TLX!$A$2:$A$86,A54)</f>
        <v/>
      </c>
      <c r="I54">
        <f>AVERAGEIFS(TLX!$G$2:$G$86,TLX!$A$2:$A$86,A54)</f>
        <v/>
      </c>
      <c r="J54">
        <f>IFERROR(AVERAGEIFS(TOAST!$K$2:$K$86,TOAST!$A$2:$A$86,A54),NA())</f>
        <v/>
      </c>
      <c r="K54">
        <f>IFERROR(AVERAGEIFS(TOAST!$L$2:$L$86,TOAST!$A$2:$A$86,A54),NA())</f>
        <v/>
      </c>
      <c r="L54">
        <f>IFERROR(AVERAGEIFS(TOAST!$M$2:$M$86,TOAST!$A$2:$A$86,A54),NA())</f>
        <v/>
      </c>
      <c r="M54">
        <f>AVERAGEIFS(Sessions!$H$2:$H$511,Sessions!$A$2:$A$511,A54)</f>
        <v/>
      </c>
      <c r="N54">
        <f>AVERAGEIFS(Sessions!$U$2:$U$511,Sessions!$A$2:$A$511,A54)</f>
        <v/>
      </c>
      <c r="O54">
        <f>AVERAGEIFS(Sessions!$I$2:$I$511,Sessions!$A$2:$A$511,A54)</f>
        <v/>
      </c>
      <c r="P54">
        <f>_xlfn.RANK.AVG(C54,$C$2:$C$86,1)</f>
        <v/>
      </c>
      <c r="Q54">
        <f>_xlfn.RANK.AVG(D54,$D$2:$D$86,1)</f>
        <v/>
      </c>
      <c r="R54">
        <f>_xlfn.RANK.AVG(L54,$L$2:$L$86,1)</f>
        <v/>
      </c>
      <c r="S54">
        <f>_xlfn.RANK.AVG(M54,$M$2:$M$86,1)</f>
        <v/>
      </c>
    </row>
    <row r="55">
      <c r="A55" t="inlineStr">
        <is>
          <t>user_0109</t>
        </is>
      </c>
      <c r="B55">
        <f>VLOOKUP(A55,Participants!$A$2:$B$86,2,FALSE)</f>
        <v/>
      </c>
      <c r="C55">
        <f>AVERAGEIFS(SUS!$W$2:$W$86,SUS!$A$2:$A$86,A55)</f>
        <v/>
      </c>
      <c r="D55">
        <f>AVERAGEIFS(TLX!$H$2:$H$86,TLX!$A$2:$A$86,A55)</f>
        <v/>
      </c>
      <c r="E55">
        <f>AVERAGEIFS(TLX!$B$2:$B$86,TLX!$A$2:$A$86,A55)</f>
        <v/>
      </c>
      <c r="F55">
        <f>AVERAGEIFS(TLX!$D$2:$D$86,TLX!$A$2:$A$86,A55)</f>
        <v/>
      </c>
      <c r="G55">
        <f>AVERAGEIFS(TLX!$E$2:$E$86,TLX!$A$2:$A$86,A55)</f>
        <v/>
      </c>
      <c r="H55">
        <f>AVERAGEIFS(TLX!$F$2:$F$86,TLX!$A$2:$A$86,A55)</f>
        <v/>
      </c>
      <c r="I55">
        <f>AVERAGEIFS(TLX!$G$2:$G$86,TLX!$A$2:$A$86,A55)</f>
        <v/>
      </c>
      <c r="J55">
        <f>IFERROR(AVERAGEIFS(TOAST!$K$2:$K$86,TOAST!$A$2:$A$86,A55),NA())</f>
        <v/>
      </c>
      <c r="K55">
        <f>IFERROR(AVERAGEIFS(TOAST!$L$2:$L$86,TOAST!$A$2:$A$86,A55),NA())</f>
        <v/>
      </c>
      <c r="L55">
        <f>IFERROR(AVERAGEIFS(TOAST!$M$2:$M$86,TOAST!$A$2:$A$86,A55),NA())</f>
        <v/>
      </c>
      <c r="M55">
        <f>AVERAGEIFS(Sessions!$H$2:$H$511,Sessions!$A$2:$A$511,A55)</f>
        <v/>
      </c>
      <c r="N55">
        <f>AVERAGEIFS(Sessions!$U$2:$U$511,Sessions!$A$2:$A$511,A55)</f>
        <v/>
      </c>
      <c r="O55">
        <f>AVERAGEIFS(Sessions!$I$2:$I$511,Sessions!$A$2:$A$511,A55)</f>
        <v/>
      </c>
      <c r="P55">
        <f>_xlfn.RANK.AVG(C55,$C$2:$C$86,1)</f>
        <v/>
      </c>
      <c r="Q55">
        <f>_xlfn.RANK.AVG(D55,$D$2:$D$86,1)</f>
        <v/>
      </c>
      <c r="R55">
        <f>_xlfn.RANK.AVG(L55,$L$2:$L$86,1)</f>
        <v/>
      </c>
      <c r="S55">
        <f>_xlfn.RANK.AVG(M55,$M$2:$M$86,1)</f>
        <v/>
      </c>
    </row>
    <row r="56">
      <c r="A56" t="inlineStr">
        <is>
          <t>user_0110</t>
        </is>
      </c>
      <c r="B56">
        <f>VLOOKUP(A56,Participants!$A$2:$B$86,2,FALSE)</f>
        <v/>
      </c>
      <c r="C56">
        <f>AVERAGEIFS(SUS!$W$2:$W$86,SUS!$A$2:$A$86,A56)</f>
        <v/>
      </c>
      <c r="D56">
        <f>AVERAGEIFS(TLX!$H$2:$H$86,TLX!$A$2:$A$86,A56)</f>
        <v/>
      </c>
      <c r="E56">
        <f>AVERAGEIFS(TLX!$B$2:$B$86,TLX!$A$2:$A$86,A56)</f>
        <v/>
      </c>
      <c r="F56">
        <f>AVERAGEIFS(TLX!$D$2:$D$86,TLX!$A$2:$A$86,A56)</f>
        <v/>
      </c>
      <c r="G56">
        <f>AVERAGEIFS(TLX!$E$2:$E$86,TLX!$A$2:$A$86,A56)</f>
        <v/>
      </c>
      <c r="H56">
        <f>AVERAGEIFS(TLX!$F$2:$F$86,TLX!$A$2:$A$86,A56)</f>
        <v/>
      </c>
      <c r="I56">
        <f>AVERAGEIFS(TLX!$G$2:$G$86,TLX!$A$2:$A$86,A56)</f>
        <v/>
      </c>
      <c r="J56">
        <f>IFERROR(AVERAGEIFS(TOAST!$K$2:$K$86,TOAST!$A$2:$A$86,A56),NA())</f>
        <v/>
      </c>
      <c r="K56">
        <f>IFERROR(AVERAGEIFS(TOAST!$L$2:$L$86,TOAST!$A$2:$A$86,A56),NA())</f>
        <v/>
      </c>
      <c r="L56">
        <f>IFERROR(AVERAGEIFS(TOAST!$M$2:$M$86,TOAST!$A$2:$A$86,A56),NA())</f>
        <v/>
      </c>
      <c r="M56">
        <f>AVERAGEIFS(Sessions!$H$2:$H$511,Sessions!$A$2:$A$511,A56)</f>
        <v/>
      </c>
      <c r="N56">
        <f>AVERAGEIFS(Sessions!$U$2:$U$511,Sessions!$A$2:$A$511,A56)</f>
        <v/>
      </c>
      <c r="O56">
        <f>AVERAGEIFS(Sessions!$I$2:$I$511,Sessions!$A$2:$A$511,A56)</f>
        <v/>
      </c>
      <c r="P56">
        <f>_xlfn.RANK.AVG(C56,$C$2:$C$86,1)</f>
        <v/>
      </c>
      <c r="Q56">
        <f>_xlfn.RANK.AVG(D56,$D$2:$D$86,1)</f>
        <v/>
      </c>
      <c r="R56">
        <f>_xlfn.RANK.AVG(L56,$L$2:$L$86,1)</f>
        <v/>
      </c>
      <c r="S56">
        <f>_xlfn.RANK.AVG(M56,$M$2:$M$86,1)</f>
        <v/>
      </c>
    </row>
    <row r="57">
      <c r="A57" t="inlineStr">
        <is>
          <t>user_0113</t>
        </is>
      </c>
      <c r="B57">
        <f>VLOOKUP(A57,Participants!$A$2:$B$86,2,FALSE)</f>
        <v/>
      </c>
      <c r="C57">
        <f>AVERAGEIFS(SUS!$W$2:$W$86,SUS!$A$2:$A$86,A57)</f>
        <v/>
      </c>
      <c r="D57">
        <f>AVERAGEIFS(TLX!$H$2:$H$86,TLX!$A$2:$A$86,A57)</f>
        <v/>
      </c>
      <c r="E57">
        <f>AVERAGEIFS(TLX!$B$2:$B$86,TLX!$A$2:$A$86,A57)</f>
        <v/>
      </c>
      <c r="F57">
        <f>AVERAGEIFS(TLX!$D$2:$D$86,TLX!$A$2:$A$86,A57)</f>
        <v/>
      </c>
      <c r="G57">
        <f>AVERAGEIFS(TLX!$E$2:$E$86,TLX!$A$2:$A$86,A57)</f>
        <v/>
      </c>
      <c r="H57">
        <f>AVERAGEIFS(TLX!$F$2:$F$86,TLX!$A$2:$A$86,A57)</f>
        <v/>
      </c>
      <c r="I57">
        <f>AVERAGEIFS(TLX!$G$2:$G$86,TLX!$A$2:$A$86,A57)</f>
        <v/>
      </c>
      <c r="J57">
        <f>IFERROR(AVERAGEIFS(TOAST!$K$2:$K$86,TOAST!$A$2:$A$86,A57),NA())</f>
        <v/>
      </c>
      <c r="K57">
        <f>IFERROR(AVERAGEIFS(TOAST!$L$2:$L$86,TOAST!$A$2:$A$86,A57),NA())</f>
        <v/>
      </c>
      <c r="L57">
        <f>IFERROR(AVERAGEIFS(TOAST!$M$2:$M$86,TOAST!$A$2:$A$86,A57),NA())</f>
        <v/>
      </c>
      <c r="M57">
        <f>AVERAGEIFS(Sessions!$H$2:$H$511,Sessions!$A$2:$A$511,A57)</f>
        <v/>
      </c>
      <c r="N57">
        <f>AVERAGEIFS(Sessions!$U$2:$U$511,Sessions!$A$2:$A$511,A57)</f>
        <v/>
      </c>
      <c r="O57">
        <f>AVERAGEIFS(Sessions!$I$2:$I$511,Sessions!$A$2:$A$511,A57)</f>
        <v/>
      </c>
      <c r="P57">
        <f>_xlfn.RANK.AVG(C57,$C$2:$C$86,1)</f>
        <v/>
      </c>
      <c r="Q57">
        <f>_xlfn.RANK.AVG(D57,$D$2:$D$86,1)</f>
        <v/>
      </c>
      <c r="R57">
        <f>_xlfn.RANK.AVG(L57,$L$2:$L$86,1)</f>
        <v/>
      </c>
      <c r="S57">
        <f>_xlfn.RANK.AVG(M57,$M$2:$M$86,1)</f>
        <v/>
      </c>
    </row>
    <row r="58">
      <c r="A58" t="inlineStr">
        <is>
          <t>user_0114</t>
        </is>
      </c>
      <c r="B58">
        <f>VLOOKUP(A58,Participants!$A$2:$B$86,2,FALSE)</f>
        <v/>
      </c>
      <c r="C58">
        <f>AVERAGEIFS(SUS!$W$2:$W$86,SUS!$A$2:$A$86,A58)</f>
        <v/>
      </c>
      <c r="D58">
        <f>AVERAGEIFS(TLX!$H$2:$H$86,TLX!$A$2:$A$86,A58)</f>
        <v/>
      </c>
      <c r="E58">
        <f>AVERAGEIFS(TLX!$B$2:$B$86,TLX!$A$2:$A$86,A58)</f>
        <v/>
      </c>
      <c r="F58">
        <f>AVERAGEIFS(TLX!$D$2:$D$86,TLX!$A$2:$A$86,A58)</f>
        <v/>
      </c>
      <c r="G58">
        <f>AVERAGEIFS(TLX!$E$2:$E$86,TLX!$A$2:$A$86,A58)</f>
        <v/>
      </c>
      <c r="H58">
        <f>AVERAGEIFS(TLX!$F$2:$F$86,TLX!$A$2:$A$86,A58)</f>
        <v/>
      </c>
      <c r="I58">
        <f>AVERAGEIFS(TLX!$G$2:$G$86,TLX!$A$2:$A$86,A58)</f>
        <v/>
      </c>
      <c r="J58">
        <f>IFERROR(AVERAGEIFS(TOAST!$K$2:$K$86,TOAST!$A$2:$A$86,A58),NA())</f>
        <v/>
      </c>
      <c r="K58">
        <f>IFERROR(AVERAGEIFS(TOAST!$L$2:$L$86,TOAST!$A$2:$A$86,A58),NA())</f>
        <v/>
      </c>
      <c r="L58">
        <f>IFERROR(AVERAGEIFS(TOAST!$M$2:$M$86,TOAST!$A$2:$A$86,A58),NA())</f>
        <v/>
      </c>
      <c r="M58">
        <f>AVERAGEIFS(Sessions!$H$2:$H$511,Sessions!$A$2:$A$511,A58)</f>
        <v/>
      </c>
      <c r="N58">
        <f>AVERAGEIFS(Sessions!$U$2:$U$511,Sessions!$A$2:$A$511,A58)</f>
        <v/>
      </c>
      <c r="O58">
        <f>AVERAGEIFS(Sessions!$I$2:$I$511,Sessions!$A$2:$A$511,A58)</f>
        <v/>
      </c>
      <c r="P58">
        <f>_xlfn.RANK.AVG(C58,$C$2:$C$86,1)</f>
        <v/>
      </c>
      <c r="Q58">
        <f>_xlfn.RANK.AVG(D58,$D$2:$D$86,1)</f>
        <v/>
      </c>
      <c r="R58">
        <f>_xlfn.RANK.AVG(L58,$L$2:$L$86,1)</f>
        <v/>
      </c>
      <c r="S58">
        <f>_xlfn.RANK.AVG(M58,$M$2:$M$86,1)</f>
        <v/>
      </c>
    </row>
    <row r="59">
      <c r="A59" t="inlineStr">
        <is>
          <t>user_0115</t>
        </is>
      </c>
      <c r="B59">
        <f>VLOOKUP(A59,Participants!$A$2:$B$86,2,FALSE)</f>
        <v/>
      </c>
      <c r="C59">
        <f>AVERAGEIFS(SUS!$W$2:$W$86,SUS!$A$2:$A$86,A59)</f>
        <v/>
      </c>
      <c r="D59">
        <f>AVERAGEIFS(TLX!$H$2:$H$86,TLX!$A$2:$A$86,A59)</f>
        <v/>
      </c>
      <c r="E59">
        <f>AVERAGEIFS(TLX!$B$2:$B$86,TLX!$A$2:$A$86,A59)</f>
        <v/>
      </c>
      <c r="F59">
        <f>AVERAGEIFS(TLX!$D$2:$D$86,TLX!$A$2:$A$86,A59)</f>
        <v/>
      </c>
      <c r="G59">
        <f>AVERAGEIFS(TLX!$E$2:$E$86,TLX!$A$2:$A$86,A59)</f>
        <v/>
      </c>
      <c r="H59">
        <f>AVERAGEIFS(TLX!$F$2:$F$86,TLX!$A$2:$A$86,A59)</f>
        <v/>
      </c>
      <c r="I59">
        <f>AVERAGEIFS(TLX!$G$2:$G$86,TLX!$A$2:$A$86,A59)</f>
        <v/>
      </c>
      <c r="J59">
        <f>IFERROR(AVERAGEIFS(TOAST!$K$2:$K$86,TOAST!$A$2:$A$86,A59),NA())</f>
        <v/>
      </c>
      <c r="K59">
        <f>IFERROR(AVERAGEIFS(TOAST!$L$2:$L$86,TOAST!$A$2:$A$86,A59),NA())</f>
        <v/>
      </c>
      <c r="L59">
        <f>IFERROR(AVERAGEIFS(TOAST!$M$2:$M$86,TOAST!$A$2:$A$86,A59),NA())</f>
        <v/>
      </c>
      <c r="M59">
        <f>AVERAGEIFS(Sessions!$H$2:$H$511,Sessions!$A$2:$A$511,A59)</f>
        <v/>
      </c>
      <c r="N59">
        <f>AVERAGEIFS(Sessions!$U$2:$U$511,Sessions!$A$2:$A$511,A59)</f>
        <v/>
      </c>
      <c r="O59">
        <f>AVERAGEIFS(Sessions!$I$2:$I$511,Sessions!$A$2:$A$511,A59)</f>
        <v/>
      </c>
      <c r="P59">
        <f>_xlfn.RANK.AVG(C59,$C$2:$C$86,1)</f>
        <v/>
      </c>
      <c r="Q59">
        <f>_xlfn.RANK.AVG(D59,$D$2:$D$86,1)</f>
        <v/>
      </c>
      <c r="R59">
        <f>_xlfn.RANK.AVG(L59,$L$2:$L$86,1)</f>
        <v/>
      </c>
      <c r="S59">
        <f>_xlfn.RANK.AVG(M59,$M$2:$M$86,1)</f>
        <v/>
      </c>
    </row>
    <row r="60">
      <c r="A60" t="inlineStr">
        <is>
          <t>user_0116</t>
        </is>
      </c>
      <c r="B60">
        <f>VLOOKUP(A60,Participants!$A$2:$B$86,2,FALSE)</f>
        <v/>
      </c>
      <c r="C60">
        <f>AVERAGEIFS(SUS!$W$2:$W$86,SUS!$A$2:$A$86,A60)</f>
        <v/>
      </c>
      <c r="D60">
        <f>AVERAGEIFS(TLX!$H$2:$H$86,TLX!$A$2:$A$86,A60)</f>
        <v/>
      </c>
      <c r="E60">
        <f>AVERAGEIFS(TLX!$B$2:$B$86,TLX!$A$2:$A$86,A60)</f>
        <v/>
      </c>
      <c r="F60">
        <f>AVERAGEIFS(TLX!$D$2:$D$86,TLX!$A$2:$A$86,A60)</f>
        <v/>
      </c>
      <c r="G60">
        <f>AVERAGEIFS(TLX!$E$2:$E$86,TLX!$A$2:$A$86,A60)</f>
        <v/>
      </c>
      <c r="H60">
        <f>AVERAGEIFS(TLX!$F$2:$F$86,TLX!$A$2:$A$86,A60)</f>
        <v/>
      </c>
      <c r="I60">
        <f>AVERAGEIFS(TLX!$G$2:$G$86,TLX!$A$2:$A$86,A60)</f>
        <v/>
      </c>
      <c r="J60">
        <f>IFERROR(AVERAGEIFS(TOAST!$K$2:$K$86,TOAST!$A$2:$A$86,A60),NA())</f>
        <v/>
      </c>
      <c r="K60">
        <f>IFERROR(AVERAGEIFS(TOAST!$L$2:$L$86,TOAST!$A$2:$A$86,A60),NA())</f>
        <v/>
      </c>
      <c r="L60">
        <f>IFERROR(AVERAGEIFS(TOAST!$M$2:$M$86,TOAST!$A$2:$A$86,A60),NA())</f>
        <v/>
      </c>
      <c r="M60">
        <f>AVERAGEIFS(Sessions!$H$2:$H$511,Sessions!$A$2:$A$511,A60)</f>
        <v/>
      </c>
      <c r="N60">
        <f>AVERAGEIFS(Sessions!$U$2:$U$511,Sessions!$A$2:$A$511,A60)</f>
        <v/>
      </c>
      <c r="O60">
        <f>AVERAGEIFS(Sessions!$I$2:$I$511,Sessions!$A$2:$A$511,A60)</f>
        <v/>
      </c>
      <c r="P60">
        <f>_xlfn.RANK.AVG(C60,$C$2:$C$86,1)</f>
        <v/>
      </c>
      <c r="Q60">
        <f>_xlfn.RANK.AVG(D60,$D$2:$D$86,1)</f>
        <v/>
      </c>
      <c r="R60">
        <f>_xlfn.RANK.AVG(L60,$L$2:$L$86,1)</f>
        <v/>
      </c>
      <c r="S60">
        <f>_xlfn.RANK.AVG(M60,$M$2:$M$86,1)</f>
        <v/>
      </c>
    </row>
    <row r="61">
      <c r="A61" t="inlineStr">
        <is>
          <t>user_0118</t>
        </is>
      </c>
      <c r="B61">
        <f>VLOOKUP(A61,Participants!$A$2:$B$86,2,FALSE)</f>
        <v/>
      </c>
      <c r="C61">
        <f>AVERAGEIFS(SUS!$W$2:$W$86,SUS!$A$2:$A$86,A61)</f>
        <v/>
      </c>
      <c r="D61">
        <f>AVERAGEIFS(TLX!$H$2:$H$86,TLX!$A$2:$A$86,A61)</f>
        <v/>
      </c>
      <c r="E61">
        <f>AVERAGEIFS(TLX!$B$2:$B$86,TLX!$A$2:$A$86,A61)</f>
        <v/>
      </c>
      <c r="F61">
        <f>AVERAGEIFS(TLX!$D$2:$D$86,TLX!$A$2:$A$86,A61)</f>
        <v/>
      </c>
      <c r="G61">
        <f>AVERAGEIFS(TLX!$E$2:$E$86,TLX!$A$2:$A$86,A61)</f>
        <v/>
      </c>
      <c r="H61">
        <f>AVERAGEIFS(TLX!$F$2:$F$86,TLX!$A$2:$A$86,A61)</f>
        <v/>
      </c>
      <c r="I61">
        <f>AVERAGEIFS(TLX!$G$2:$G$86,TLX!$A$2:$A$86,A61)</f>
        <v/>
      </c>
      <c r="J61">
        <f>IFERROR(AVERAGEIFS(TOAST!$K$2:$K$86,TOAST!$A$2:$A$86,A61),NA())</f>
        <v/>
      </c>
      <c r="K61">
        <f>IFERROR(AVERAGEIFS(TOAST!$L$2:$L$86,TOAST!$A$2:$A$86,A61),NA())</f>
        <v/>
      </c>
      <c r="L61">
        <f>IFERROR(AVERAGEIFS(TOAST!$M$2:$M$86,TOAST!$A$2:$A$86,A61),NA())</f>
        <v/>
      </c>
      <c r="M61">
        <f>AVERAGEIFS(Sessions!$H$2:$H$511,Sessions!$A$2:$A$511,A61)</f>
        <v/>
      </c>
      <c r="N61">
        <f>AVERAGEIFS(Sessions!$U$2:$U$511,Sessions!$A$2:$A$511,A61)</f>
        <v/>
      </c>
      <c r="O61">
        <f>AVERAGEIFS(Sessions!$I$2:$I$511,Sessions!$A$2:$A$511,A61)</f>
        <v/>
      </c>
      <c r="P61">
        <f>_xlfn.RANK.AVG(C61,$C$2:$C$86,1)</f>
        <v/>
      </c>
      <c r="Q61">
        <f>_xlfn.RANK.AVG(D61,$D$2:$D$86,1)</f>
        <v/>
      </c>
      <c r="R61">
        <f>_xlfn.RANK.AVG(L61,$L$2:$L$86,1)</f>
        <v/>
      </c>
      <c r="S61">
        <f>_xlfn.RANK.AVG(M61,$M$2:$M$86,1)</f>
        <v/>
      </c>
    </row>
    <row r="62">
      <c r="A62" t="inlineStr">
        <is>
          <t>user_0119</t>
        </is>
      </c>
      <c r="B62">
        <f>VLOOKUP(A62,Participants!$A$2:$B$86,2,FALSE)</f>
        <v/>
      </c>
      <c r="C62">
        <f>AVERAGEIFS(SUS!$W$2:$W$86,SUS!$A$2:$A$86,A62)</f>
        <v/>
      </c>
      <c r="D62">
        <f>AVERAGEIFS(TLX!$H$2:$H$86,TLX!$A$2:$A$86,A62)</f>
        <v/>
      </c>
      <c r="E62">
        <f>AVERAGEIFS(TLX!$B$2:$B$86,TLX!$A$2:$A$86,A62)</f>
        <v/>
      </c>
      <c r="F62">
        <f>AVERAGEIFS(TLX!$D$2:$D$86,TLX!$A$2:$A$86,A62)</f>
        <v/>
      </c>
      <c r="G62">
        <f>AVERAGEIFS(TLX!$E$2:$E$86,TLX!$A$2:$A$86,A62)</f>
        <v/>
      </c>
      <c r="H62">
        <f>AVERAGEIFS(TLX!$F$2:$F$86,TLX!$A$2:$A$86,A62)</f>
        <v/>
      </c>
      <c r="I62">
        <f>AVERAGEIFS(TLX!$G$2:$G$86,TLX!$A$2:$A$86,A62)</f>
        <v/>
      </c>
      <c r="J62">
        <f>IFERROR(AVERAGEIFS(TOAST!$K$2:$K$86,TOAST!$A$2:$A$86,A62),NA())</f>
        <v/>
      </c>
      <c r="K62">
        <f>IFERROR(AVERAGEIFS(TOAST!$L$2:$L$86,TOAST!$A$2:$A$86,A62),NA())</f>
        <v/>
      </c>
      <c r="L62">
        <f>IFERROR(AVERAGEIFS(TOAST!$M$2:$M$86,TOAST!$A$2:$A$86,A62),NA())</f>
        <v/>
      </c>
      <c r="M62">
        <f>AVERAGEIFS(Sessions!$H$2:$H$511,Sessions!$A$2:$A$511,A62)</f>
        <v/>
      </c>
      <c r="N62">
        <f>AVERAGEIFS(Sessions!$U$2:$U$511,Sessions!$A$2:$A$511,A62)</f>
        <v/>
      </c>
      <c r="O62">
        <f>AVERAGEIFS(Sessions!$I$2:$I$511,Sessions!$A$2:$A$511,A62)</f>
        <v/>
      </c>
      <c r="P62">
        <f>_xlfn.RANK.AVG(C62,$C$2:$C$86,1)</f>
        <v/>
      </c>
      <c r="Q62">
        <f>_xlfn.RANK.AVG(D62,$D$2:$D$86,1)</f>
        <v/>
      </c>
      <c r="R62">
        <f>_xlfn.RANK.AVG(L62,$L$2:$L$86,1)</f>
        <v/>
      </c>
      <c r="S62">
        <f>_xlfn.RANK.AVG(M62,$M$2:$M$86,1)</f>
        <v/>
      </c>
    </row>
    <row r="63">
      <c r="A63" t="inlineStr">
        <is>
          <t>user_0120</t>
        </is>
      </c>
      <c r="B63">
        <f>VLOOKUP(A63,Participants!$A$2:$B$86,2,FALSE)</f>
        <v/>
      </c>
      <c r="C63">
        <f>AVERAGEIFS(SUS!$W$2:$W$86,SUS!$A$2:$A$86,A63)</f>
        <v/>
      </c>
      <c r="D63">
        <f>AVERAGEIFS(TLX!$H$2:$H$86,TLX!$A$2:$A$86,A63)</f>
        <v/>
      </c>
      <c r="E63">
        <f>AVERAGEIFS(TLX!$B$2:$B$86,TLX!$A$2:$A$86,A63)</f>
        <v/>
      </c>
      <c r="F63">
        <f>AVERAGEIFS(TLX!$D$2:$D$86,TLX!$A$2:$A$86,A63)</f>
        <v/>
      </c>
      <c r="G63">
        <f>AVERAGEIFS(TLX!$E$2:$E$86,TLX!$A$2:$A$86,A63)</f>
        <v/>
      </c>
      <c r="H63">
        <f>AVERAGEIFS(TLX!$F$2:$F$86,TLX!$A$2:$A$86,A63)</f>
        <v/>
      </c>
      <c r="I63">
        <f>AVERAGEIFS(TLX!$G$2:$G$86,TLX!$A$2:$A$86,A63)</f>
        <v/>
      </c>
      <c r="J63">
        <f>IFERROR(AVERAGEIFS(TOAST!$K$2:$K$86,TOAST!$A$2:$A$86,A63),NA())</f>
        <v/>
      </c>
      <c r="K63">
        <f>IFERROR(AVERAGEIFS(TOAST!$L$2:$L$86,TOAST!$A$2:$A$86,A63),NA())</f>
        <v/>
      </c>
      <c r="L63">
        <f>IFERROR(AVERAGEIFS(TOAST!$M$2:$M$86,TOAST!$A$2:$A$86,A63),NA())</f>
        <v/>
      </c>
      <c r="M63">
        <f>AVERAGEIFS(Sessions!$H$2:$H$511,Sessions!$A$2:$A$511,A63)</f>
        <v/>
      </c>
      <c r="N63">
        <f>AVERAGEIFS(Sessions!$U$2:$U$511,Sessions!$A$2:$A$511,A63)</f>
        <v/>
      </c>
      <c r="O63">
        <f>AVERAGEIFS(Sessions!$I$2:$I$511,Sessions!$A$2:$A$511,A63)</f>
        <v/>
      </c>
      <c r="P63">
        <f>_xlfn.RANK.AVG(C63,$C$2:$C$86,1)</f>
        <v/>
      </c>
      <c r="Q63">
        <f>_xlfn.RANK.AVG(D63,$D$2:$D$86,1)</f>
        <v/>
      </c>
      <c r="R63">
        <f>_xlfn.RANK.AVG(L63,$L$2:$L$86,1)</f>
        <v/>
      </c>
      <c r="S63">
        <f>_xlfn.RANK.AVG(M63,$M$2:$M$86,1)</f>
        <v/>
      </c>
    </row>
    <row r="64">
      <c r="A64" t="inlineStr">
        <is>
          <t>user_0121</t>
        </is>
      </c>
      <c r="B64">
        <f>VLOOKUP(A64,Participants!$A$2:$B$86,2,FALSE)</f>
        <v/>
      </c>
      <c r="C64">
        <f>AVERAGEIFS(SUS!$W$2:$W$86,SUS!$A$2:$A$86,A64)</f>
        <v/>
      </c>
      <c r="D64">
        <f>AVERAGEIFS(TLX!$H$2:$H$86,TLX!$A$2:$A$86,A64)</f>
        <v/>
      </c>
      <c r="E64">
        <f>AVERAGEIFS(TLX!$B$2:$B$86,TLX!$A$2:$A$86,A64)</f>
        <v/>
      </c>
      <c r="F64">
        <f>AVERAGEIFS(TLX!$D$2:$D$86,TLX!$A$2:$A$86,A64)</f>
        <v/>
      </c>
      <c r="G64">
        <f>AVERAGEIFS(TLX!$E$2:$E$86,TLX!$A$2:$A$86,A64)</f>
        <v/>
      </c>
      <c r="H64">
        <f>AVERAGEIFS(TLX!$F$2:$F$86,TLX!$A$2:$A$86,A64)</f>
        <v/>
      </c>
      <c r="I64">
        <f>AVERAGEIFS(TLX!$G$2:$G$86,TLX!$A$2:$A$86,A64)</f>
        <v/>
      </c>
      <c r="J64">
        <f>IFERROR(AVERAGEIFS(TOAST!$K$2:$K$86,TOAST!$A$2:$A$86,A64),NA())</f>
        <v/>
      </c>
      <c r="K64">
        <f>IFERROR(AVERAGEIFS(TOAST!$L$2:$L$86,TOAST!$A$2:$A$86,A64),NA())</f>
        <v/>
      </c>
      <c r="L64">
        <f>IFERROR(AVERAGEIFS(TOAST!$M$2:$M$86,TOAST!$A$2:$A$86,A64),NA())</f>
        <v/>
      </c>
      <c r="M64">
        <f>AVERAGEIFS(Sessions!$H$2:$H$511,Sessions!$A$2:$A$511,A64)</f>
        <v/>
      </c>
      <c r="N64">
        <f>AVERAGEIFS(Sessions!$U$2:$U$511,Sessions!$A$2:$A$511,A64)</f>
        <v/>
      </c>
      <c r="O64">
        <f>AVERAGEIFS(Sessions!$I$2:$I$511,Sessions!$A$2:$A$511,A64)</f>
        <v/>
      </c>
      <c r="P64">
        <f>_xlfn.RANK.AVG(C64,$C$2:$C$86,1)</f>
        <v/>
      </c>
      <c r="Q64">
        <f>_xlfn.RANK.AVG(D64,$D$2:$D$86,1)</f>
        <v/>
      </c>
      <c r="R64">
        <f>_xlfn.RANK.AVG(L64,$L$2:$L$86,1)</f>
        <v/>
      </c>
      <c r="S64">
        <f>_xlfn.RANK.AVG(M64,$M$2:$M$86,1)</f>
        <v/>
      </c>
    </row>
    <row r="65">
      <c r="A65" t="inlineStr">
        <is>
          <t>user_0123</t>
        </is>
      </c>
      <c r="B65">
        <f>VLOOKUP(A65,Participants!$A$2:$B$86,2,FALSE)</f>
        <v/>
      </c>
      <c r="C65">
        <f>AVERAGEIFS(SUS!$W$2:$W$86,SUS!$A$2:$A$86,A65)</f>
        <v/>
      </c>
      <c r="D65">
        <f>AVERAGEIFS(TLX!$H$2:$H$86,TLX!$A$2:$A$86,A65)</f>
        <v/>
      </c>
      <c r="E65">
        <f>AVERAGEIFS(TLX!$B$2:$B$86,TLX!$A$2:$A$86,A65)</f>
        <v/>
      </c>
      <c r="F65">
        <f>AVERAGEIFS(TLX!$D$2:$D$86,TLX!$A$2:$A$86,A65)</f>
        <v/>
      </c>
      <c r="G65">
        <f>AVERAGEIFS(TLX!$E$2:$E$86,TLX!$A$2:$A$86,A65)</f>
        <v/>
      </c>
      <c r="H65">
        <f>AVERAGEIFS(TLX!$F$2:$F$86,TLX!$A$2:$A$86,A65)</f>
        <v/>
      </c>
      <c r="I65">
        <f>AVERAGEIFS(TLX!$G$2:$G$86,TLX!$A$2:$A$86,A65)</f>
        <v/>
      </c>
      <c r="J65">
        <f>IFERROR(AVERAGEIFS(TOAST!$K$2:$K$86,TOAST!$A$2:$A$86,A65),NA())</f>
        <v/>
      </c>
      <c r="K65">
        <f>IFERROR(AVERAGEIFS(TOAST!$L$2:$L$86,TOAST!$A$2:$A$86,A65),NA())</f>
        <v/>
      </c>
      <c r="L65">
        <f>IFERROR(AVERAGEIFS(TOAST!$M$2:$M$86,TOAST!$A$2:$A$86,A65),NA())</f>
        <v/>
      </c>
      <c r="M65">
        <f>AVERAGEIFS(Sessions!$H$2:$H$511,Sessions!$A$2:$A$511,A65)</f>
        <v/>
      </c>
      <c r="N65">
        <f>AVERAGEIFS(Sessions!$U$2:$U$511,Sessions!$A$2:$A$511,A65)</f>
        <v/>
      </c>
      <c r="O65">
        <f>AVERAGEIFS(Sessions!$I$2:$I$511,Sessions!$A$2:$A$511,A65)</f>
        <v/>
      </c>
      <c r="P65">
        <f>_xlfn.RANK.AVG(C65,$C$2:$C$86,1)</f>
        <v/>
      </c>
      <c r="Q65">
        <f>_xlfn.RANK.AVG(D65,$D$2:$D$86,1)</f>
        <v/>
      </c>
      <c r="R65">
        <f>_xlfn.RANK.AVG(L65,$L$2:$L$86,1)</f>
        <v/>
      </c>
      <c r="S65">
        <f>_xlfn.RANK.AVG(M65,$M$2:$M$86,1)</f>
        <v/>
      </c>
    </row>
    <row r="66">
      <c r="A66" t="inlineStr">
        <is>
          <t>user_0124</t>
        </is>
      </c>
      <c r="B66">
        <f>VLOOKUP(A66,Participants!$A$2:$B$86,2,FALSE)</f>
        <v/>
      </c>
      <c r="C66">
        <f>AVERAGEIFS(SUS!$W$2:$W$86,SUS!$A$2:$A$86,A66)</f>
        <v/>
      </c>
      <c r="D66">
        <f>AVERAGEIFS(TLX!$H$2:$H$86,TLX!$A$2:$A$86,A66)</f>
        <v/>
      </c>
      <c r="E66">
        <f>AVERAGEIFS(TLX!$B$2:$B$86,TLX!$A$2:$A$86,A66)</f>
        <v/>
      </c>
      <c r="F66">
        <f>AVERAGEIFS(TLX!$D$2:$D$86,TLX!$A$2:$A$86,A66)</f>
        <v/>
      </c>
      <c r="G66">
        <f>AVERAGEIFS(TLX!$E$2:$E$86,TLX!$A$2:$A$86,A66)</f>
        <v/>
      </c>
      <c r="H66">
        <f>AVERAGEIFS(TLX!$F$2:$F$86,TLX!$A$2:$A$86,A66)</f>
        <v/>
      </c>
      <c r="I66">
        <f>AVERAGEIFS(TLX!$G$2:$G$86,TLX!$A$2:$A$86,A66)</f>
        <v/>
      </c>
      <c r="J66">
        <f>IFERROR(AVERAGEIFS(TOAST!$K$2:$K$86,TOAST!$A$2:$A$86,A66),NA())</f>
        <v/>
      </c>
      <c r="K66">
        <f>IFERROR(AVERAGEIFS(TOAST!$L$2:$L$86,TOAST!$A$2:$A$86,A66),NA())</f>
        <v/>
      </c>
      <c r="L66">
        <f>IFERROR(AVERAGEIFS(TOAST!$M$2:$M$86,TOAST!$A$2:$A$86,A66),NA())</f>
        <v/>
      </c>
      <c r="M66">
        <f>AVERAGEIFS(Sessions!$H$2:$H$511,Sessions!$A$2:$A$511,A66)</f>
        <v/>
      </c>
      <c r="N66">
        <f>AVERAGEIFS(Sessions!$U$2:$U$511,Sessions!$A$2:$A$511,A66)</f>
        <v/>
      </c>
      <c r="O66">
        <f>AVERAGEIFS(Sessions!$I$2:$I$511,Sessions!$A$2:$A$511,A66)</f>
        <v/>
      </c>
      <c r="P66">
        <f>_xlfn.RANK.AVG(C66,$C$2:$C$86,1)</f>
        <v/>
      </c>
      <c r="Q66">
        <f>_xlfn.RANK.AVG(D66,$D$2:$D$86,1)</f>
        <v/>
      </c>
      <c r="R66">
        <f>_xlfn.RANK.AVG(L66,$L$2:$L$86,1)</f>
        <v/>
      </c>
      <c r="S66">
        <f>_xlfn.RANK.AVG(M66,$M$2:$M$86,1)</f>
        <v/>
      </c>
    </row>
    <row r="67">
      <c r="A67" t="inlineStr">
        <is>
          <t>user_0125</t>
        </is>
      </c>
      <c r="B67">
        <f>VLOOKUP(A67,Participants!$A$2:$B$86,2,FALSE)</f>
        <v/>
      </c>
      <c r="C67">
        <f>AVERAGEIFS(SUS!$W$2:$W$86,SUS!$A$2:$A$86,A67)</f>
        <v/>
      </c>
      <c r="D67">
        <f>AVERAGEIFS(TLX!$H$2:$H$86,TLX!$A$2:$A$86,A67)</f>
        <v/>
      </c>
      <c r="E67">
        <f>AVERAGEIFS(TLX!$B$2:$B$86,TLX!$A$2:$A$86,A67)</f>
        <v/>
      </c>
      <c r="F67">
        <f>AVERAGEIFS(TLX!$D$2:$D$86,TLX!$A$2:$A$86,A67)</f>
        <v/>
      </c>
      <c r="G67">
        <f>AVERAGEIFS(TLX!$E$2:$E$86,TLX!$A$2:$A$86,A67)</f>
        <v/>
      </c>
      <c r="H67">
        <f>AVERAGEIFS(TLX!$F$2:$F$86,TLX!$A$2:$A$86,A67)</f>
        <v/>
      </c>
      <c r="I67">
        <f>AVERAGEIFS(TLX!$G$2:$G$86,TLX!$A$2:$A$86,A67)</f>
        <v/>
      </c>
      <c r="J67">
        <f>IFERROR(AVERAGEIFS(TOAST!$K$2:$K$86,TOAST!$A$2:$A$86,A67),NA())</f>
        <v/>
      </c>
      <c r="K67">
        <f>IFERROR(AVERAGEIFS(TOAST!$L$2:$L$86,TOAST!$A$2:$A$86,A67),NA())</f>
        <v/>
      </c>
      <c r="L67">
        <f>IFERROR(AVERAGEIFS(TOAST!$M$2:$M$86,TOAST!$A$2:$A$86,A67),NA())</f>
        <v/>
      </c>
      <c r="M67">
        <f>AVERAGEIFS(Sessions!$H$2:$H$511,Sessions!$A$2:$A$511,A67)</f>
        <v/>
      </c>
      <c r="N67">
        <f>AVERAGEIFS(Sessions!$U$2:$U$511,Sessions!$A$2:$A$511,A67)</f>
        <v/>
      </c>
      <c r="O67">
        <f>AVERAGEIFS(Sessions!$I$2:$I$511,Sessions!$A$2:$A$511,A67)</f>
        <v/>
      </c>
      <c r="P67">
        <f>_xlfn.RANK.AVG(C67,$C$2:$C$86,1)</f>
        <v/>
      </c>
      <c r="Q67">
        <f>_xlfn.RANK.AVG(D67,$D$2:$D$86,1)</f>
        <v/>
      </c>
      <c r="R67">
        <f>_xlfn.RANK.AVG(L67,$L$2:$L$86,1)</f>
        <v/>
      </c>
      <c r="S67">
        <f>_xlfn.RANK.AVG(M67,$M$2:$M$86,1)</f>
        <v/>
      </c>
    </row>
    <row r="68">
      <c r="A68" t="inlineStr">
        <is>
          <t>user_0126</t>
        </is>
      </c>
      <c r="B68">
        <f>VLOOKUP(A68,Participants!$A$2:$B$86,2,FALSE)</f>
        <v/>
      </c>
      <c r="C68">
        <f>AVERAGEIFS(SUS!$W$2:$W$86,SUS!$A$2:$A$86,A68)</f>
        <v/>
      </c>
      <c r="D68">
        <f>AVERAGEIFS(TLX!$H$2:$H$86,TLX!$A$2:$A$86,A68)</f>
        <v/>
      </c>
      <c r="E68">
        <f>AVERAGEIFS(TLX!$B$2:$B$86,TLX!$A$2:$A$86,A68)</f>
        <v/>
      </c>
      <c r="F68">
        <f>AVERAGEIFS(TLX!$D$2:$D$86,TLX!$A$2:$A$86,A68)</f>
        <v/>
      </c>
      <c r="G68">
        <f>AVERAGEIFS(TLX!$E$2:$E$86,TLX!$A$2:$A$86,A68)</f>
        <v/>
      </c>
      <c r="H68">
        <f>AVERAGEIFS(TLX!$F$2:$F$86,TLX!$A$2:$A$86,A68)</f>
        <v/>
      </c>
      <c r="I68">
        <f>AVERAGEIFS(TLX!$G$2:$G$86,TLX!$A$2:$A$86,A68)</f>
        <v/>
      </c>
      <c r="J68">
        <f>IFERROR(AVERAGEIFS(TOAST!$K$2:$K$86,TOAST!$A$2:$A$86,A68),NA())</f>
        <v/>
      </c>
      <c r="K68">
        <f>IFERROR(AVERAGEIFS(TOAST!$L$2:$L$86,TOAST!$A$2:$A$86,A68),NA())</f>
        <v/>
      </c>
      <c r="L68">
        <f>IFERROR(AVERAGEIFS(TOAST!$M$2:$M$86,TOAST!$A$2:$A$86,A68),NA())</f>
        <v/>
      </c>
      <c r="M68">
        <f>AVERAGEIFS(Sessions!$H$2:$H$511,Sessions!$A$2:$A$511,A68)</f>
        <v/>
      </c>
      <c r="N68">
        <f>AVERAGEIFS(Sessions!$U$2:$U$511,Sessions!$A$2:$A$511,A68)</f>
        <v/>
      </c>
      <c r="O68">
        <f>AVERAGEIFS(Sessions!$I$2:$I$511,Sessions!$A$2:$A$511,A68)</f>
        <v/>
      </c>
      <c r="P68">
        <f>_xlfn.RANK.AVG(C68,$C$2:$C$86,1)</f>
        <v/>
      </c>
      <c r="Q68">
        <f>_xlfn.RANK.AVG(D68,$D$2:$D$86,1)</f>
        <v/>
      </c>
      <c r="R68">
        <f>_xlfn.RANK.AVG(L68,$L$2:$L$86,1)</f>
        <v/>
      </c>
      <c r="S68">
        <f>_xlfn.RANK.AVG(M68,$M$2:$M$86,1)</f>
        <v/>
      </c>
    </row>
    <row r="69">
      <c r="A69" t="inlineStr">
        <is>
          <t>user_0127</t>
        </is>
      </c>
      <c r="B69">
        <f>VLOOKUP(A69,Participants!$A$2:$B$86,2,FALSE)</f>
        <v/>
      </c>
      <c r="C69">
        <f>AVERAGEIFS(SUS!$W$2:$W$86,SUS!$A$2:$A$86,A69)</f>
        <v/>
      </c>
      <c r="D69">
        <f>AVERAGEIFS(TLX!$H$2:$H$86,TLX!$A$2:$A$86,A69)</f>
        <v/>
      </c>
      <c r="E69">
        <f>AVERAGEIFS(TLX!$B$2:$B$86,TLX!$A$2:$A$86,A69)</f>
        <v/>
      </c>
      <c r="F69">
        <f>AVERAGEIFS(TLX!$D$2:$D$86,TLX!$A$2:$A$86,A69)</f>
        <v/>
      </c>
      <c r="G69">
        <f>AVERAGEIFS(TLX!$E$2:$E$86,TLX!$A$2:$A$86,A69)</f>
        <v/>
      </c>
      <c r="H69">
        <f>AVERAGEIFS(TLX!$F$2:$F$86,TLX!$A$2:$A$86,A69)</f>
        <v/>
      </c>
      <c r="I69">
        <f>AVERAGEIFS(TLX!$G$2:$G$86,TLX!$A$2:$A$86,A69)</f>
        <v/>
      </c>
      <c r="J69">
        <f>IFERROR(AVERAGEIFS(TOAST!$K$2:$K$86,TOAST!$A$2:$A$86,A69),NA())</f>
        <v/>
      </c>
      <c r="K69">
        <f>IFERROR(AVERAGEIFS(TOAST!$L$2:$L$86,TOAST!$A$2:$A$86,A69),NA())</f>
        <v/>
      </c>
      <c r="L69">
        <f>IFERROR(AVERAGEIFS(TOAST!$M$2:$M$86,TOAST!$A$2:$A$86,A69),NA())</f>
        <v/>
      </c>
      <c r="M69">
        <f>AVERAGEIFS(Sessions!$H$2:$H$511,Sessions!$A$2:$A$511,A69)</f>
        <v/>
      </c>
      <c r="N69">
        <f>AVERAGEIFS(Sessions!$U$2:$U$511,Sessions!$A$2:$A$511,A69)</f>
        <v/>
      </c>
      <c r="O69">
        <f>AVERAGEIFS(Sessions!$I$2:$I$511,Sessions!$A$2:$A$511,A69)</f>
        <v/>
      </c>
      <c r="P69">
        <f>_xlfn.RANK.AVG(C69,$C$2:$C$86,1)</f>
        <v/>
      </c>
      <c r="Q69">
        <f>_xlfn.RANK.AVG(D69,$D$2:$D$86,1)</f>
        <v/>
      </c>
      <c r="R69">
        <f>_xlfn.RANK.AVG(L69,$L$2:$L$86,1)</f>
        <v/>
      </c>
      <c r="S69">
        <f>_xlfn.RANK.AVG(M69,$M$2:$M$86,1)</f>
        <v/>
      </c>
    </row>
    <row r="70">
      <c r="A70" t="inlineStr">
        <is>
          <t>user_0128</t>
        </is>
      </c>
      <c r="B70">
        <f>VLOOKUP(A70,Participants!$A$2:$B$86,2,FALSE)</f>
        <v/>
      </c>
      <c r="C70">
        <f>AVERAGEIFS(SUS!$W$2:$W$86,SUS!$A$2:$A$86,A70)</f>
        <v/>
      </c>
      <c r="D70">
        <f>AVERAGEIFS(TLX!$H$2:$H$86,TLX!$A$2:$A$86,A70)</f>
        <v/>
      </c>
      <c r="E70">
        <f>AVERAGEIFS(TLX!$B$2:$B$86,TLX!$A$2:$A$86,A70)</f>
        <v/>
      </c>
      <c r="F70">
        <f>AVERAGEIFS(TLX!$D$2:$D$86,TLX!$A$2:$A$86,A70)</f>
        <v/>
      </c>
      <c r="G70">
        <f>AVERAGEIFS(TLX!$E$2:$E$86,TLX!$A$2:$A$86,A70)</f>
        <v/>
      </c>
      <c r="H70">
        <f>AVERAGEIFS(TLX!$F$2:$F$86,TLX!$A$2:$A$86,A70)</f>
        <v/>
      </c>
      <c r="I70">
        <f>AVERAGEIFS(TLX!$G$2:$G$86,TLX!$A$2:$A$86,A70)</f>
        <v/>
      </c>
      <c r="J70">
        <f>IFERROR(AVERAGEIFS(TOAST!$K$2:$K$86,TOAST!$A$2:$A$86,A70),NA())</f>
        <v/>
      </c>
      <c r="K70">
        <f>IFERROR(AVERAGEIFS(TOAST!$L$2:$L$86,TOAST!$A$2:$A$86,A70),NA())</f>
        <v/>
      </c>
      <c r="L70">
        <f>IFERROR(AVERAGEIFS(TOAST!$M$2:$M$86,TOAST!$A$2:$A$86,A70),NA())</f>
        <v/>
      </c>
      <c r="M70">
        <f>AVERAGEIFS(Sessions!$H$2:$H$511,Sessions!$A$2:$A$511,A70)</f>
        <v/>
      </c>
      <c r="N70">
        <f>AVERAGEIFS(Sessions!$U$2:$U$511,Sessions!$A$2:$A$511,A70)</f>
        <v/>
      </c>
      <c r="O70">
        <f>AVERAGEIFS(Sessions!$I$2:$I$511,Sessions!$A$2:$A$511,A70)</f>
        <v/>
      </c>
      <c r="P70">
        <f>_xlfn.RANK.AVG(C70,$C$2:$C$86,1)</f>
        <v/>
      </c>
      <c r="Q70">
        <f>_xlfn.RANK.AVG(D70,$D$2:$D$86,1)</f>
        <v/>
      </c>
      <c r="R70">
        <f>_xlfn.RANK.AVG(L70,$L$2:$L$86,1)</f>
        <v/>
      </c>
      <c r="S70">
        <f>_xlfn.RANK.AVG(M70,$M$2:$M$86,1)</f>
        <v/>
      </c>
    </row>
    <row r="71">
      <c r="A71" t="inlineStr">
        <is>
          <t>user_0129</t>
        </is>
      </c>
      <c r="B71">
        <f>VLOOKUP(A71,Participants!$A$2:$B$86,2,FALSE)</f>
        <v/>
      </c>
      <c r="C71">
        <f>AVERAGEIFS(SUS!$W$2:$W$86,SUS!$A$2:$A$86,A71)</f>
        <v/>
      </c>
      <c r="D71">
        <f>AVERAGEIFS(TLX!$H$2:$H$86,TLX!$A$2:$A$86,A71)</f>
        <v/>
      </c>
      <c r="E71">
        <f>AVERAGEIFS(TLX!$B$2:$B$86,TLX!$A$2:$A$86,A71)</f>
        <v/>
      </c>
      <c r="F71">
        <f>AVERAGEIFS(TLX!$D$2:$D$86,TLX!$A$2:$A$86,A71)</f>
        <v/>
      </c>
      <c r="G71">
        <f>AVERAGEIFS(TLX!$E$2:$E$86,TLX!$A$2:$A$86,A71)</f>
        <v/>
      </c>
      <c r="H71">
        <f>AVERAGEIFS(TLX!$F$2:$F$86,TLX!$A$2:$A$86,A71)</f>
        <v/>
      </c>
      <c r="I71">
        <f>AVERAGEIFS(TLX!$G$2:$G$86,TLX!$A$2:$A$86,A71)</f>
        <v/>
      </c>
      <c r="J71">
        <f>IFERROR(AVERAGEIFS(TOAST!$K$2:$K$86,TOAST!$A$2:$A$86,A71),NA())</f>
        <v/>
      </c>
      <c r="K71">
        <f>IFERROR(AVERAGEIFS(TOAST!$L$2:$L$86,TOAST!$A$2:$A$86,A71),NA())</f>
        <v/>
      </c>
      <c r="L71">
        <f>IFERROR(AVERAGEIFS(TOAST!$M$2:$M$86,TOAST!$A$2:$A$86,A71),NA())</f>
        <v/>
      </c>
      <c r="M71">
        <f>AVERAGEIFS(Sessions!$H$2:$H$511,Sessions!$A$2:$A$511,A71)</f>
        <v/>
      </c>
      <c r="N71">
        <f>AVERAGEIFS(Sessions!$U$2:$U$511,Sessions!$A$2:$A$511,A71)</f>
        <v/>
      </c>
      <c r="O71">
        <f>AVERAGEIFS(Sessions!$I$2:$I$511,Sessions!$A$2:$A$511,A71)</f>
        <v/>
      </c>
      <c r="P71">
        <f>_xlfn.RANK.AVG(C71,$C$2:$C$86,1)</f>
        <v/>
      </c>
      <c r="Q71">
        <f>_xlfn.RANK.AVG(D71,$D$2:$D$86,1)</f>
        <v/>
      </c>
      <c r="R71">
        <f>_xlfn.RANK.AVG(L71,$L$2:$L$86,1)</f>
        <v/>
      </c>
      <c r="S71">
        <f>_xlfn.RANK.AVG(M71,$M$2:$M$86,1)</f>
        <v/>
      </c>
    </row>
    <row r="72">
      <c r="A72" t="inlineStr">
        <is>
          <t>user_0130</t>
        </is>
      </c>
      <c r="B72">
        <f>VLOOKUP(A72,Participants!$A$2:$B$86,2,FALSE)</f>
        <v/>
      </c>
      <c r="C72">
        <f>AVERAGEIFS(SUS!$W$2:$W$86,SUS!$A$2:$A$86,A72)</f>
        <v/>
      </c>
      <c r="D72">
        <f>AVERAGEIFS(TLX!$H$2:$H$86,TLX!$A$2:$A$86,A72)</f>
        <v/>
      </c>
      <c r="E72">
        <f>AVERAGEIFS(TLX!$B$2:$B$86,TLX!$A$2:$A$86,A72)</f>
        <v/>
      </c>
      <c r="F72">
        <f>AVERAGEIFS(TLX!$D$2:$D$86,TLX!$A$2:$A$86,A72)</f>
        <v/>
      </c>
      <c r="G72">
        <f>AVERAGEIFS(TLX!$E$2:$E$86,TLX!$A$2:$A$86,A72)</f>
        <v/>
      </c>
      <c r="H72">
        <f>AVERAGEIFS(TLX!$F$2:$F$86,TLX!$A$2:$A$86,A72)</f>
        <v/>
      </c>
      <c r="I72">
        <f>AVERAGEIFS(TLX!$G$2:$G$86,TLX!$A$2:$A$86,A72)</f>
        <v/>
      </c>
      <c r="J72">
        <f>IFERROR(AVERAGEIFS(TOAST!$K$2:$K$86,TOAST!$A$2:$A$86,A72),NA())</f>
        <v/>
      </c>
      <c r="K72">
        <f>IFERROR(AVERAGEIFS(TOAST!$L$2:$L$86,TOAST!$A$2:$A$86,A72),NA())</f>
        <v/>
      </c>
      <c r="L72">
        <f>IFERROR(AVERAGEIFS(TOAST!$M$2:$M$86,TOAST!$A$2:$A$86,A72),NA())</f>
        <v/>
      </c>
      <c r="M72">
        <f>AVERAGEIFS(Sessions!$H$2:$H$511,Sessions!$A$2:$A$511,A72)</f>
        <v/>
      </c>
      <c r="N72">
        <f>AVERAGEIFS(Sessions!$U$2:$U$511,Sessions!$A$2:$A$511,A72)</f>
        <v/>
      </c>
      <c r="O72">
        <f>AVERAGEIFS(Sessions!$I$2:$I$511,Sessions!$A$2:$A$511,A72)</f>
        <v/>
      </c>
      <c r="P72">
        <f>_xlfn.RANK.AVG(C72,$C$2:$C$86,1)</f>
        <v/>
      </c>
      <c r="Q72">
        <f>_xlfn.RANK.AVG(D72,$D$2:$D$86,1)</f>
        <v/>
      </c>
      <c r="R72">
        <f>_xlfn.RANK.AVG(L72,$L$2:$L$86,1)</f>
        <v/>
      </c>
      <c r="S72">
        <f>_xlfn.RANK.AVG(M72,$M$2:$M$86,1)</f>
        <v/>
      </c>
    </row>
    <row r="73">
      <c r="A73" t="inlineStr">
        <is>
          <t>user_0131</t>
        </is>
      </c>
      <c r="B73">
        <f>VLOOKUP(A73,Participants!$A$2:$B$86,2,FALSE)</f>
        <v/>
      </c>
      <c r="C73">
        <f>AVERAGEIFS(SUS!$W$2:$W$86,SUS!$A$2:$A$86,A73)</f>
        <v/>
      </c>
      <c r="D73">
        <f>AVERAGEIFS(TLX!$H$2:$H$86,TLX!$A$2:$A$86,A73)</f>
        <v/>
      </c>
      <c r="E73">
        <f>AVERAGEIFS(TLX!$B$2:$B$86,TLX!$A$2:$A$86,A73)</f>
        <v/>
      </c>
      <c r="F73">
        <f>AVERAGEIFS(TLX!$D$2:$D$86,TLX!$A$2:$A$86,A73)</f>
        <v/>
      </c>
      <c r="G73">
        <f>AVERAGEIFS(TLX!$E$2:$E$86,TLX!$A$2:$A$86,A73)</f>
        <v/>
      </c>
      <c r="H73">
        <f>AVERAGEIFS(TLX!$F$2:$F$86,TLX!$A$2:$A$86,A73)</f>
        <v/>
      </c>
      <c r="I73">
        <f>AVERAGEIFS(TLX!$G$2:$G$86,TLX!$A$2:$A$86,A73)</f>
        <v/>
      </c>
      <c r="J73">
        <f>IFERROR(AVERAGEIFS(TOAST!$K$2:$K$86,TOAST!$A$2:$A$86,A73),NA())</f>
        <v/>
      </c>
      <c r="K73">
        <f>IFERROR(AVERAGEIFS(TOAST!$L$2:$L$86,TOAST!$A$2:$A$86,A73),NA())</f>
        <v/>
      </c>
      <c r="L73">
        <f>IFERROR(AVERAGEIFS(TOAST!$M$2:$M$86,TOAST!$A$2:$A$86,A73),NA())</f>
        <v/>
      </c>
      <c r="M73">
        <f>AVERAGEIFS(Sessions!$H$2:$H$511,Sessions!$A$2:$A$511,A73)</f>
        <v/>
      </c>
      <c r="N73">
        <f>AVERAGEIFS(Sessions!$U$2:$U$511,Sessions!$A$2:$A$511,A73)</f>
        <v/>
      </c>
      <c r="O73">
        <f>AVERAGEIFS(Sessions!$I$2:$I$511,Sessions!$A$2:$A$511,A73)</f>
        <v/>
      </c>
      <c r="P73">
        <f>_xlfn.RANK.AVG(C73,$C$2:$C$86,1)</f>
        <v/>
      </c>
      <c r="Q73">
        <f>_xlfn.RANK.AVG(D73,$D$2:$D$86,1)</f>
        <v/>
      </c>
      <c r="R73">
        <f>_xlfn.RANK.AVG(L73,$L$2:$L$86,1)</f>
        <v/>
      </c>
      <c r="S73">
        <f>_xlfn.RANK.AVG(M73,$M$2:$M$86,1)</f>
        <v/>
      </c>
    </row>
    <row r="74">
      <c r="A74" t="inlineStr">
        <is>
          <t>user_0132</t>
        </is>
      </c>
      <c r="B74">
        <f>VLOOKUP(A74,Participants!$A$2:$B$86,2,FALSE)</f>
        <v/>
      </c>
      <c r="C74">
        <f>AVERAGEIFS(SUS!$W$2:$W$86,SUS!$A$2:$A$86,A74)</f>
        <v/>
      </c>
      <c r="D74">
        <f>AVERAGEIFS(TLX!$H$2:$H$86,TLX!$A$2:$A$86,A74)</f>
        <v/>
      </c>
      <c r="E74">
        <f>AVERAGEIFS(TLX!$B$2:$B$86,TLX!$A$2:$A$86,A74)</f>
        <v/>
      </c>
      <c r="F74">
        <f>AVERAGEIFS(TLX!$D$2:$D$86,TLX!$A$2:$A$86,A74)</f>
        <v/>
      </c>
      <c r="G74">
        <f>AVERAGEIFS(TLX!$E$2:$E$86,TLX!$A$2:$A$86,A74)</f>
        <v/>
      </c>
      <c r="H74">
        <f>AVERAGEIFS(TLX!$F$2:$F$86,TLX!$A$2:$A$86,A74)</f>
        <v/>
      </c>
      <c r="I74">
        <f>AVERAGEIFS(TLX!$G$2:$G$86,TLX!$A$2:$A$86,A74)</f>
        <v/>
      </c>
      <c r="J74">
        <f>IFERROR(AVERAGEIFS(TOAST!$K$2:$K$86,TOAST!$A$2:$A$86,A74),NA())</f>
        <v/>
      </c>
      <c r="K74">
        <f>IFERROR(AVERAGEIFS(TOAST!$L$2:$L$86,TOAST!$A$2:$A$86,A74),NA())</f>
        <v/>
      </c>
      <c r="L74">
        <f>IFERROR(AVERAGEIFS(TOAST!$M$2:$M$86,TOAST!$A$2:$A$86,A74),NA())</f>
        <v/>
      </c>
      <c r="M74">
        <f>AVERAGEIFS(Sessions!$H$2:$H$511,Sessions!$A$2:$A$511,A74)</f>
        <v/>
      </c>
      <c r="N74">
        <f>AVERAGEIFS(Sessions!$U$2:$U$511,Sessions!$A$2:$A$511,A74)</f>
        <v/>
      </c>
      <c r="O74">
        <f>AVERAGEIFS(Sessions!$I$2:$I$511,Sessions!$A$2:$A$511,A74)</f>
        <v/>
      </c>
      <c r="P74">
        <f>_xlfn.RANK.AVG(C74,$C$2:$C$86,1)</f>
        <v/>
      </c>
      <c r="Q74">
        <f>_xlfn.RANK.AVG(D74,$D$2:$D$86,1)</f>
        <v/>
      </c>
      <c r="R74">
        <f>_xlfn.RANK.AVG(L74,$L$2:$L$86,1)</f>
        <v/>
      </c>
      <c r="S74">
        <f>_xlfn.RANK.AVG(M74,$M$2:$M$86,1)</f>
        <v/>
      </c>
    </row>
    <row r="75">
      <c r="A75" t="inlineStr">
        <is>
          <t>user_0133</t>
        </is>
      </c>
      <c r="B75">
        <f>VLOOKUP(A75,Participants!$A$2:$B$86,2,FALSE)</f>
        <v/>
      </c>
      <c r="C75">
        <f>AVERAGEIFS(SUS!$W$2:$W$86,SUS!$A$2:$A$86,A75)</f>
        <v/>
      </c>
      <c r="D75">
        <f>AVERAGEIFS(TLX!$H$2:$H$86,TLX!$A$2:$A$86,A75)</f>
        <v/>
      </c>
      <c r="E75">
        <f>AVERAGEIFS(TLX!$B$2:$B$86,TLX!$A$2:$A$86,A75)</f>
        <v/>
      </c>
      <c r="F75">
        <f>AVERAGEIFS(TLX!$D$2:$D$86,TLX!$A$2:$A$86,A75)</f>
        <v/>
      </c>
      <c r="G75">
        <f>AVERAGEIFS(TLX!$E$2:$E$86,TLX!$A$2:$A$86,A75)</f>
        <v/>
      </c>
      <c r="H75">
        <f>AVERAGEIFS(TLX!$F$2:$F$86,TLX!$A$2:$A$86,A75)</f>
        <v/>
      </c>
      <c r="I75">
        <f>AVERAGEIFS(TLX!$G$2:$G$86,TLX!$A$2:$A$86,A75)</f>
        <v/>
      </c>
      <c r="J75">
        <f>IFERROR(AVERAGEIFS(TOAST!$K$2:$K$86,TOAST!$A$2:$A$86,A75),NA())</f>
        <v/>
      </c>
      <c r="K75">
        <f>IFERROR(AVERAGEIFS(TOAST!$L$2:$L$86,TOAST!$A$2:$A$86,A75),NA())</f>
        <v/>
      </c>
      <c r="L75">
        <f>IFERROR(AVERAGEIFS(TOAST!$M$2:$M$86,TOAST!$A$2:$A$86,A75),NA())</f>
        <v/>
      </c>
      <c r="M75">
        <f>AVERAGEIFS(Sessions!$H$2:$H$511,Sessions!$A$2:$A$511,A75)</f>
        <v/>
      </c>
      <c r="N75">
        <f>AVERAGEIFS(Sessions!$U$2:$U$511,Sessions!$A$2:$A$511,A75)</f>
        <v/>
      </c>
      <c r="O75">
        <f>AVERAGEIFS(Sessions!$I$2:$I$511,Sessions!$A$2:$A$511,A75)</f>
        <v/>
      </c>
      <c r="P75">
        <f>_xlfn.RANK.AVG(C75,$C$2:$C$86,1)</f>
        <v/>
      </c>
      <c r="Q75">
        <f>_xlfn.RANK.AVG(D75,$D$2:$D$86,1)</f>
        <v/>
      </c>
      <c r="R75">
        <f>_xlfn.RANK.AVG(L75,$L$2:$L$86,1)</f>
        <v/>
      </c>
      <c r="S75">
        <f>_xlfn.RANK.AVG(M75,$M$2:$M$86,1)</f>
        <v/>
      </c>
    </row>
    <row r="76">
      <c r="A76" t="inlineStr">
        <is>
          <t>user_0134</t>
        </is>
      </c>
      <c r="B76">
        <f>VLOOKUP(A76,Participants!$A$2:$B$86,2,FALSE)</f>
        <v/>
      </c>
      <c r="C76">
        <f>AVERAGEIFS(SUS!$W$2:$W$86,SUS!$A$2:$A$86,A76)</f>
        <v/>
      </c>
      <c r="D76">
        <f>AVERAGEIFS(TLX!$H$2:$H$86,TLX!$A$2:$A$86,A76)</f>
        <v/>
      </c>
      <c r="E76">
        <f>AVERAGEIFS(TLX!$B$2:$B$86,TLX!$A$2:$A$86,A76)</f>
        <v/>
      </c>
      <c r="F76">
        <f>AVERAGEIFS(TLX!$D$2:$D$86,TLX!$A$2:$A$86,A76)</f>
        <v/>
      </c>
      <c r="G76">
        <f>AVERAGEIFS(TLX!$E$2:$E$86,TLX!$A$2:$A$86,A76)</f>
        <v/>
      </c>
      <c r="H76">
        <f>AVERAGEIFS(TLX!$F$2:$F$86,TLX!$A$2:$A$86,A76)</f>
        <v/>
      </c>
      <c r="I76">
        <f>AVERAGEIFS(TLX!$G$2:$G$86,TLX!$A$2:$A$86,A76)</f>
        <v/>
      </c>
      <c r="J76">
        <f>IFERROR(AVERAGEIFS(TOAST!$K$2:$K$86,TOAST!$A$2:$A$86,A76),NA())</f>
        <v/>
      </c>
      <c r="K76">
        <f>IFERROR(AVERAGEIFS(TOAST!$L$2:$L$86,TOAST!$A$2:$A$86,A76),NA())</f>
        <v/>
      </c>
      <c r="L76">
        <f>IFERROR(AVERAGEIFS(TOAST!$M$2:$M$86,TOAST!$A$2:$A$86,A76),NA())</f>
        <v/>
      </c>
      <c r="M76">
        <f>AVERAGEIFS(Sessions!$H$2:$H$511,Sessions!$A$2:$A$511,A76)</f>
        <v/>
      </c>
      <c r="N76">
        <f>AVERAGEIFS(Sessions!$U$2:$U$511,Sessions!$A$2:$A$511,A76)</f>
        <v/>
      </c>
      <c r="O76">
        <f>AVERAGEIFS(Sessions!$I$2:$I$511,Sessions!$A$2:$A$511,A76)</f>
        <v/>
      </c>
      <c r="P76">
        <f>_xlfn.RANK.AVG(C76,$C$2:$C$86,1)</f>
        <v/>
      </c>
      <c r="Q76">
        <f>_xlfn.RANK.AVG(D76,$D$2:$D$86,1)</f>
        <v/>
      </c>
      <c r="R76">
        <f>_xlfn.RANK.AVG(L76,$L$2:$L$86,1)</f>
        <v/>
      </c>
      <c r="S76">
        <f>_xlfn.RANK.AVG(M76,$M$2:$M$86,1)</f>
        <v/>
      </c>
    </row>
    <row r="77">
      <c r="A77" t="inlineStr">
        <is>
          <t>user_0150</t>
        </is>
      </c>
      <c r="B77">
        <f>VLOOKUP(A77,Participants!$A$2:$B$86,2,FALSE)</f>
        <v/>
      </c>
      <c r="C77">
        <f>AVERAGEIFS(SUS!$W$2:$W$86,SUS!$A$2:$A$86,A77)</f>
        <v/>
      </c>
      <c r="D77">
        <f>AVERAGEIFS(TLX!$H$2:$H$86,TLX!$A$2:$A$86,A77)</f>
        <v/>
      </c>
      <c r="E77">
        <f>AVERAGEIFS(TLX!$B$2:$B$86,TLX!$A$2:$A$86,A77)</f>
        <v/>
      </c>
      <c r="F77">
        <f>AVERAGEIFS(TLX!$D$2:$D$86,TLX!$A$2:$A$86,A77)</f>
        <v/>
      </c>
      <c r="G77">
        <f>AVERAGEIFS(TLX!$E$2:$E$86,TLX!$A$2:$A$86,A77)</f>
        <v/>
      </c>
      <c r="H77">
        <f>AVERAGEIFS(TLX!$F$2:$F$86,TLX!$A$2:$A$86,A77)</f>
        <v/>
      </c>
      <c r="I77">
        <f>AVERAGEIFS(TLX!$G$2:$G$86,TLX!$A$2:$A$86,A77)</f>
        <v/>
      </c>
      <c r="J77">
        <f>IFERROR(AVERAGEIFS(TOAST!$K$2:$K$86,TOAST!$A$2:$A$86,A77),NA())</f>
        <v/>
      </c>
      <c r="K77">
        <f>IFERROR(AVERAGEIFS(TOAST!$L$2:$L$86,TOAST!$A$2:$A$86,A77),NA())</f>
        <v/>
      </c>
      <c r="L77">
        <f>IFERROR(AVERAGEIFS(TOAST!$M$2:$M$86,TOAST!$A$2:$A$86,A77),NA())</f>
        <v/>
      </c>
      <c r="M77">
        <f>AVERAGEIFS(Sessions!$H$2:$H$511,Sessions!$A$2:$A$511,A77)</f>
        <v/>
      </c>
      <c r="N77">
        <f>AVERAGEIFS(Sessions!$U$2:$U$511,Sessions!$A$2:$A$511,A77)</f>
        <v/>
      </c>
      <c r="O77">
        <f>AVERAGEIFS(Sessions!$I$2:$I$511,Sessions!$A$2:$A$511,A77)</f>
        <v/>
      </c>
      <c r="P77">
        <f>_xlfn.RANK.AVG(C77,$C$2:$C$86,1)</f>
        <v/>
      </c>
      <c r="Q77">
        <f>_xlfn.RANK.AVG(D77,$D$2:$D$86,1)</f>
        <v/>
      </c>
      <c r="R77">
        <f>_xlfn.RANK.AVG(L77,$L$2:$L$86,1)</f>
        <v/>
      </c>
      <c r="S77">
        <f>_xlfn.RANK.AVG(M77,$M$2:$M$86,1)</f>
        <v/>
      </c>
    </row>
    <row r="78">
      <c r="A78" t="inlineStr">
        <is>
          <t>user_0152</t>
        </is>
      </c>
      <c r="B78">
        <f>VLOOKUP(A78,Participants!$A$2:$B$86,2,FALSE)</f>
        <v/>
      </c>
      <c r="C78">
        <f>AVERAGEIFS(SUS!$W$2:$W$86,SUS!$A$2:$A$86,A78)</f>
        <v/>
      </c>
      <c r="D78">
        <f>AVERAGEIFS(TLX!$H$2:$H$86,TLX!$A$2:$A$86,A78)</f>
        <v/>
      </c>
      <c r="E78">
        <f>AVERAGEIFS(TLX!$B$2:$B$86,TLX!$A$2:$A$86,A78)</f>
        <v/>
      </c>
      <c r="F78">
        <f>AVERAGEIFS(TLX!$D$2:$D$86,TLX!$A$2:$A$86,A78)</f>
        <v/>
      </c>
      <c r="G78">
        <f>AVERAGEIFS(TLX!$E$2:$E$86,TLX!$A$2:$A$86,A78)</f>
        <v/>
      </c>
      <c r="H78">
        <f>AVERAGEIFS(TLX!$F$2:$F$86,TLX!$A$2:$A$86,A78)</f>
        <v/>
      </c>
      <c r="I78">
        <f>AVERAGEIFS(TLX!$G$2:$G$86,TLX!$A$2:$A$86,A78)</f>
        <v/>
      </c>
      <c r="J78">
        <f>IFERROR(AVERAGEIFS(TOAST!$K$2:$K$86,TOAST!$A$2:$A$86,A78),NA())</f>
        <v/>
      </c>
      <c r="K78">
        <f>IFERROR(AVERAGEIFS(TOAST!$L$2:$L$86,TOAST!$A$2:$A$86,A78),NA())</f>
        <v/>
      </c>
      <c r="L78">
        <f>IFERROR(AVERAGEIFS(TOAST!$M$2:$M$86,TOAST!$A$2:$A$86,A78),NA())</f>
        <v/>
      </c>
      <c r="M78">
        <f>AVERAGEIFS(Sessions!$H$2:$H$511,Sessions!$A$2:$A$511,A78)</f>
        <v/>
      </c>
      <c r="N78">
        <f>AVERAGEIFS(Sessions!$U$2:$U$511,Sessions!$A$2:$A$511,A78)</f>
        <v/>
      </c>
      <c r="O78">
        <f>AVERAGEIFS(Sessions!$I$2:$I$511,Sessions!$A$2:$A$511,A78)</f>
        <v/>
      </c>
      <c r="P78">
        <f>_xlfn.RANK.AVG(C78,$C$2:$C$86,1)</f>
        <v/>
      </c>
      <c r="Q78">
        <f>_xlfn.RANK.AVG(D78,$D$2:$D$86,1)</f>
        <v/>
      </c>
      <c r="R78">
        <f>_xlfn.RANK.AVG(L78,$L$2:$L$86,1)</f>
        <v/>
      </c>
      <c r="S78">
        <f>_xlfn.RANK.AVG(M78,$M$2:$M$86,1)</f>
        <v/>
      </c>
    </row>
    <row r="79">
      <c r="A79" t="inlineStr">
        <is>
          <t>user_0153</t>
        </is>
      </c>
      <c r="B79">
        <f>VLOOKUP(A79,Participants!$A$2:$B$86,2,FALSE)</f>
        <v/>
      </c>
      <c r="C79">
        <f>AVERAGEIFS(SUS!$W$2:$W$86,SUS!$A$2:$A$86,A79)</f>
        <v/>
      </c>
      <c r="D79">
        <f>AVERAGEIFS(TLX!$H$2:$H$86,TLX!$A$2:$A$86,A79)</f>
        <v/>
      </c>
      <c r="E79">
        <f>AVERAGEIFS(TLX!$B$2:$B$86,TLX!$A$2:$A$86,A79)</f>
        <v/>
      </c>
      <c r="F79">
        <f>AVERAGEIFS(TLX!$D$2:$D$86,TLX!$A$2:$A$86,A79)</f>
        <v/>
      </c>
      <c r="G79">
        <f>AVERAGEIFS(TLX!$E$2:$E$86,TLX!$A$2:$A$86,A79)</f>
        <v/>
      </c>
      <c r="H79">
        <f>AVERAGEIFS(TLX!$F$2:$F$86,TLX!$A$2:$A$86,A79)</f>
        <v/>
      </c>
      <c r="I79">
        <f>AVERAGEIFS(TLX!$G$2:$G$86,TLX!$A$2:$A$86,A79)</f>
        <v/>
      </c>
      <c r="J79">
        <f>IFERROR(AVERAGEIFS(TOAST!$K$2:$K$86,TOAST!$A$2:$A$86,A79),NA())</f>
        <v/>
      </c>
      <c r="K79">
        <f>IFERROR(AVERAGEIFS(TOAST!$L$2:$L$86,TOAST!$A$2:$A$86,A79),NA())</f>
        <v/>
      </c>
      <c r="L79">
        <f>IFERROR(AVERAGEIFS(TOAST!$M$2:$M$86,TOAST!$A$2:$A$86,A79),NA())</f>
        <v/>
      </c>
      <c r="M79">
        <f>AVERAGEIFS(Sessions!$H$2:$H$511,Sessions!$A$2:$A$511,A79)</f>
        <v/>
      </c>
      <c r="N79">
        <f>AVERAGEIFS(Sessions!$U$2:$U$511,Sessions!$A$2:$A$511,A79)</f>
        <v/>
      </c>
      <c r="O79">
        <f>AVERAGEIFS(Sessions!$I$2:$I$511,Sessions!$A$2:$A$511,A79)</f>
        <v/>
      </c>
      <c r="P79">
        <f>_xlfn.RANK.AVG(C79,$C$2:$C$86,1)</f>
        <v/>
      </c>
      <c r="Q79">
        <f>_xlfn.RANK.AVG(D79,$D$2:$D$86,1)</f>
        <v/>
      </c>
      <c r="R79">
        <f>_xlfn.RANK.AVG(L79,$L$2:$L$86,1)</f>
        <v/>
      </c>
      <c r="S79">
        <f>_xlfn.RANK.AVG(M79,$M$2:$M$86,1)</f>
        <v/>
      </c>
    </row>
    <row r="80">
      <c r="A80" t="inlineStr">
        <is>
          <t>user_0158</t>
        </is>
      </c>
      <c r="B80">
        <f>VLOOKUP(A80,Participants!$A$2:$B$86,2,FALSE)</f>
        <v/>
      </c>
      <c r="C80">
        <f>AVERAGEIFS(SUS!$W$2:$W$86,SUS!$A$2:$A$86,A80)</f>
        <v/>
      </c>
      <c r="D80">
        <f>AVERAGEIFS(TLX!$H$2:$H$86,TLX!$A$2:$A$86,A80)</f>
        <v/>
      </c>
      <c r="E80">
        <f>AVERAGEIFS(TLX!$B$2:$B$86,TLX!$A$2:$A$86,A80)</f>
        <v/>
      </c>
      <c r="F80">
        <f>AVERAGEIFS(TLX!$D$2:$D$86,TLX!$A$2:$A$86,A80)</f>
        <v/>
      </c>
      <c r="G80">
        <f>AVERAGEIFS(TLX!$E$2:$E$86,TLX!$A$2:$A$86,A80)</f>
        <v/>
      </c>
      <c r="H80">
        <f>AVERAGEIFS(TLX!$F$2:$F$86,TLX!$A$2:$A$86,A80)</f>
        <v/>
      </c>
      <c r="I80">
        <f>AVERAGEIFS(TLX!$G$2:$G$86,TLX!$A$2:$A$86,A80)</f>
        <v/>
      </c>
      <c r="J80">
        <f>IFERROR(AVERAGEIFS(TOAST!$K$2:$K$86,TOAST!$A$2:$A$86,A80),NA())</f>
        <v/>
      </c>
      <c r="K80">
        <f>IFERROR(AVERAGEIFS(TOAST!$L$2:$L$86,TOAST!$A$2:$A$86,A80),NA())</f>
        <v/>
      </c>
      <c r="L80">
        <f>IFERROR(AVERAGEIFS(TOAST!$M$2:$M$86,TOAST!$A$2:$A$86,A80),NA())</f>
        <v/>
      </c>
      <c r="M80">
        <f>AVERAGEIFS(Sessions!$H$2:$H$511,Sessions!$A$2:$A$511,A80)</f>
        <v/>
      </c>
      <c r="N80">
        <f>AVERAGEIFS(Sessions!$U$2:$U$511,Sessions!$A$2:$A$511,A80)</f>
        <v/>
      </c>
      <c r="O80">
        <f>AVERAGEIFS(Sessions!$I$2:$I$511,Sessions!$A$2:$A$511,A80)</f>
        <v/>
      </c>
      <c r="P80">
        <f>_xlfn.RANK.AVG(C80,$C$2:$C$86,1)</f>
        <v/>
      </c>
      <c r="Q80">
        <f>_xlfn.RANK.AVG(D80,$D$2:$D$86,1)</f>
        <v/>
      </c>
      <c r="R80">
        <f>_xlfn.RANK.AVG(L80,$L$2:$L$86,1)</f>
        <v/>
      </c>
      <c r="S80">
        <f>_xlfn.RANK.AVG(M80,$M$2:$M$86,1)</f>
        <v/>
      </c>
    </row>
    <row r="81">
      <c r="A81" t="inlineStr">
        <is>
          <t>user_0170</t>
        </is>
      </c>
      <c r="B81">
        <f>VLOOKUP(A81,Participants!$A$2:$B$86,2,FALSE)</f>
        <v/>
      </c>
      <c r="C81">
        <f>AVERAGEIFS(SUS!$W$2:$W$86,SUS!$A$2:$A$86,A81)</f>
        <v/>
      </c>
      <c r="D81">
        <f>AVERAGEIFS(TLX!$H$2:$H$86,TLX!$A$2:$A$86,A81)</f>
        <v/>
      </c>
      <c r="E81">
        <f>AVERAGEIFS(TLX!$B$2:$B$86,TLX!$A$2:$A$86,A81)</f>
        <v/>
      </c>
      <c r="F81">
        <f>AVERAGEIFS(TLX!$D$2:$D$86,TLX!$A$2:$A$86,A81)</f>
        <v/>
      </c>
      <c r="G81">
        <f>AVERAGEIFS(TLX!$E$2:$E$86,TLX!$A$2:$A$86,A81)</f>
        <v/>
      </c>
      <c r="H81">
        <f>AVERAGEIFS(TLX!$F$2:$F$86,TLX!$A$2:$A$86,A81)</f>
        <v/>
      </c>
      <c r="I81">
        <f>AVERAGEIFS(TLX!$G$2:$G$86,TLX!$A$2:$A$86,A81)</f>
        <v/>
      </c>
      <c r="J81">
        <f>IFERROR(AVERAGEIFS(TOAST!$K$2:$K$86,TOAST!$A$2:$A$86,A81),NA())</f>
        <v/>
      </c>
      <c r="K81">
        <f>IFERROR(AVERAGEIFS(TOAST!$L$2:$L$86,TOAST!$A$2:$A$86,A81),NA())</f>
        <v/>
      </c>
      <c r="L81">
        <f>IFERROR(AVERAGEIFS(TOAST!$M$2:$M$86,TOAST!$A$2:$A$86,A81),NA())</f>
        <v/>
      </c>
      <c r="M81">
        <f>AVERAGEIFS(Sessions!$H$2:$H$511,Sessions!$A$2:$A$511,A81)</f>
        <v/>
      </c>
      <c r="N81">
        <f>AVERAGEIFS(Sessions!$U$2:$U$511,Sessions!$A$2:$A$511,A81)</f>
        <v/>
      </c>
      <c r="O81">
        <f>AVERAGEIFS(Sessions!$I$2:$I$511,Sessions!$A$2:$A$511,A81)</f>
        <v/>
      </c>
      <c r="P81">
        <f>_xlfn.RANK.AVG(C81,$C$2:$C$86,1)</f>
        <v/>
      </c>
      <c r="Q81">
        <f>_xlfn.RANK.AVG(D81,$D$2:$D$86,1)</f>
        <v/>
      </c>
      <c r="R81">
        <f>_xlfn.RANK.AVG(L81,$L$2:$L$86,1)</f>
        <v/>
      </c>
      <c r="S81">
        <f>_xlfn.RANK.AVG(M81,$M$2:$M$86,1)</f>
        <v/>
      </c>
    </row>
    <row r="82">
      <c r="A82" t="inlineStr">
        <is>
          <t>user_0171</t>
        </is>
      </c>
      <c r="B82">
        <f>VLOOKUP(A82,Participants!$A$2:$B$86,2,FALSE)</f>
        <v/>
      </c>
      <c r="C82">
        <f>AVERAGEIFS(SUS!$W$2:$W$86,SUS!$A$2:$A$86,A82)</f>
        <v/>
      </c>
      <c r="D82">
        <f>AVERAGEIFS(TLX!$H$2:$H$86,TLX!$A$2:$A$86,A82)</f>
        <v/>
      </c>
      <c r="E82">
        <f>AVERAGEIFS(TLX!$B$2:$B$86,TLX!$A$2:$A$86,A82)</f>
        <v/>
      </c>
      <c r="F82">
        <f>AVERAGEIFS(TLX!$D$2:$D$86,TLX!$A$2:$A$86,A82)</f>
        <v/>
      </c>
      <c r="G82">
        <f>AVERAGEIFS(TLX!$E$2:$E$86,TLX!$A$2:$A$86,A82)</f>
        <v/>
      </c>
      <c r="H82">
        <f>AVERAGEIFS(TLX!$F$2:$F$86,TLX!$A$2:$A$86,A82)</f>
        <v/>
      </c>
      <c r="I82">
        <f>AVERAGEIFS(TLX!$G$2:$G$86,TLX!$A$2:$A$86,A82)</f>
        <v/>
      </c>
      <c r="J82">
        <f>IFERROR(AVERAGEIFS(TOAST!$K$2:$K$86,TOAST!$A$2:$A$86,A82),NA())</f>
        <v/>
      </c>
      <c r="K82">
        <f>IFERROR(AVERAGEIFS(TOAST!$L$2:$L$86,TOAST!$A$2:$A$86,A82),NA())</f>
        <v/>
      </c>
      <c r="L82">
        <f>IFERROR(AVERAGEIFS(TOAST!$M$2:$M$86,TOAST!$A$2:$A$86,A82),NA())</f>
        <v/>
      </c>
      <c r="M82">
        <f>AVERAGEIFS(Sessions!$H$2:$H$511,Sessions!$A$2:$A$511,A82)</f>
        <v/>
      </c>
      <c r="N82">
        <f>AVERAGEIFS(Sessions!$U$2:$U$511,Sessions!$A$2:$A$511,A82)</f>
        <v/>
      </c>
      <c r="O82">
        <f>AVERAGEIFS(Sessions!$I$2:$I$511,Sessions!$A$2:$A$511,A82)</f>
        <v/>
      </c>
      <c r="P82">
        <f>_xlfn.RANK.AVG(C82,$C$2:$C$86,1)</f>
        <v/>
      </c>
      <c r="Q82">
        <f>_xlfn.RANK.AVG(D82,$D$2:$D$86,1)</f>
        <v/>
      </c>
      <c r="R82">
        <f>_xlfn.RANK.AVG(L82,$L$2:$L$86,1)</f>
        <v/>
      </c>
      <c r="S82">
        <f>_xlfn.RANK.AVG(M82,$M$2:$M$86,1)</f>
        <v/>
      </c>
    </row>
    <row r="83">
      <c r="A83" t="inlineStr">
        <is>
          <t>user_0201</t>
        </is>
      </c>
      <c r="B83">
        <f>VLOOKUP(A83,Participants!$A$2:$B$86,2,FALSE)</f>
        <v/>
      </c>
      <c r="C83">
        <f>AVERAGEIFS(SUS!$W$2:$W$86,SUS!$A$2:$A$86,A83)</f>
        <v/>
      </c>
      <c r="D83">
        <f>AVERAGEIFS(TLX!$H$2:$H$86,TLX!$A$2:$A$86,A83)</f>
        <v/>
      </c>
      <c r="E83">
        <f>AVERAGEIFS(TLX!$B$2:$B$86,TLX!$A$2:$A$86,A83)</f>
        <v/>
      </c>
      <c r="F83">
        <f>AVERAGEIFS(TLX!$D$2:$D$86,TLX!$A$2:$A$86,A83)</f>
        <v/>
      </c>
      <c r="G83">
        <f>AVERAGEIFS(TLX!$E$2:$E$86,TLX!$A$2:$A$86,A83)</f>
        <v/>
      </c>
      <c r="H83">
        <f>AVERAGEIFS(TLX!$F$2:$F$86,TLX!$A$2:$A$86,A83)</f>
        <v/>
      </c>
      <c r="I83">
        <f>AVERAGEIFS(TLX!$G$2:$G$86,TLX!$A$2:$A$86,A83)</f>
        <v/>
      </c>
      <c r="J83">
        <f>IFERROR(AVERAGEIFS(TOAST!$K$2:$K$86,TOAST!$A$2:$A$86,A83),NA())</f>
        <v/>
      </c>
      <c r="K83">
        <f>IFERROR(AVERAGEIFS(TOAST!$L$2:$L$86,TOAST!$A$2:$A$86,A83),NA())</f>
        <v/>
      </c>
      <c r="L83">
        <f>IFERROR(AVERAGEIFS(TOAST!$M$2:$M$86,TOAST!$A$2:$A$86,A83),NA())</f>
        <v/>
      </c>
      <c r="M83">
        <f>AVERAGEIFS(Sessions!$H$2:$H$511,Sessions!$A$2:$A$511,A83)</f>
        <v/>
      </c>
      <c r="N83">
        <f>AVERAGEIFS(Sessions!$U$2:$U$511,Sessions!$A$2:$A$511,A83)</f>
        <v/>
      </c>
      <c r="O83">
        <f>AVERAGEIFS(Sessions!$I$2:$I$511,Sessions!$A$2:$A$511,A83)</f>
        <v/>
      </c>
      <c r="P83">
        <f>_xlfn.RANK.AVG(C83,$C$2:$C$86,1)</f>
        <v/>
      </c>
      <c r="Q83">
        <f>_xlfn.RANK.AVG(D83,$D$2:$D$86,1)</f>
        <v/>
      </c>
      <c r="R83">
        <f>_xlfn.RANK.AVG(L83,$L$2:$L$86,1)</f>
        <v/>
      </c>
      <c r="S83">
        <f>_xlfn.RANK.AVG(M83,$M$2:$M$86,1)</f>
        <v/>
      </c>
    </row>
    <row r="84">
      <c r="A84" t="inlineStr">
        <is>
          <t>user_0203</t>
        </is>
      </c>
      <c r="B84">
        <f>VLOOKUP(A84,Participants!$A$2:$B$86,2,FALSE)</f>
        <v/>
      </c>
      <c r="C84">
        <f>AVERAGEIFS(SUS!$W$2:$W$86,SUS!$A$2:$A$86,A84)</f>
        <v/>
      </c>
      <c r="D84">
        <f>AVERAGEIFS(TLX!$H$2:$H$86,TLX!$A$2:$A$86,A84)</f>
        <v/>
      </c>
      <c r="E84">
        <f>AVERAGEIFS(TLX!$B$2:$B$86,TLX!$A$2:$A$86,A84)</f>
        <v/>
      </c>
      <c r="F84">
        <f>AVERAGEIFS(TLX!$D$2:$D$86,TLX!$A$2:$A$86,A84)</f>
        <v/>
      </c>
      <c r="G84">
        <f>AVERAGEIFS(TLX!$E$2:$E$86,TLX!$A$2:$A$86,A84)</f>
        <v/>
      </c>
      <c r="H84">
        <f>AVERAGEIFS(TLX!$F$2:$F$86,TLX!$A$2:$A$86,A84)</f>
        <v/>
      </c>
      <c r="I84">
        <f>AVERAGEIFS(TLX!$G$2:$G$86,TLX!$A$2:$A$86,A84)</f>
        <v/>
      </c>
      <c r="J84">
        <f>IFERROR(AVERAGEIFS(TOAST!$K$2:$K$86,TOAST!$A$2:$A$86,A84),NA())</f>
        <v/>
      </c>
      <c r="K84">
        <f>IFERROR(AVERAGEIFS(TOAST!$L$2:$L$86,TOAST!$A$2:$A$86,A84),NA())</f>
        <v/>
      </c>
      <c r="L84">
        <f>IFERROR(AVERAGEIFS(TOAST!$M$2:$M$86,TOAST!$A$2:$A$86,A84),NA())</f>
        <v/>
      </c>
      <c r="M84">
        <f>AVERAGEIFS(Sessions!$H$2:$H$511,Sessions!$A$2:$A$511,A84)</f>
        <v/>
      </c>
      <c r="N84">
        <f>AVERAGEIFS(Sessions!$U$2:$U$511,Sessions!$A$2:$A$511,A84)</f>
        <v/>
      </c>
      <c r="O84">
        <f>AVERAGEIFS(Sessions!$I$2:$I$511,Sessions!$A$2:$A$511,A84)</f>
        <v/>
      </c>
      <c r="P84">
        <f>_xlfn.RANK.AVG(C84,$C$2:$C$86,1)</f>
        <v/>
      </c>
      <c r="Q84">
        <f>_xlfn.RANK.AVG(D84,$D$2:$D$86,1)</f>
        <v/>
      </c>
      <c r="R84">
        <f>_xlfn.RANK.AVG(L84,$L$2:$L$86,1)</f>
        <v/>
      </c>
      <c r="S84">
        <f>_xlfn.RANK.AVG(M84,$M$2:$M$86,1)</f>
        <v/>
      </c>
    </row>
    <row r="85">
      <c r="A85" t="inlineStr">
        <is>
          <t>user_0204</t>
        </is>
      </c>
      <c r="B85">
        <f>VLOOKUP(A85,Participants!$A$2:$B$86,2,FALSE)</f>
        <v/>
      </c>
      <c r="C85">
        <f>AVERAGEIFS(SUS!$W$2:$W$86,SUS!$A$2:$A$86,A85)</f>
        <v/>
      </c>
      <c r="D85">
        <f>AVERAGEIFS(TLX!$H$2:$H$86,TLX!$A$2:$A$86,A85)</f>
        <v/>
      </c>
      <c r="E85">
        <f>AVERAGEIFS(TLX!$B$2:$B$86,TLX!$A$2:$A$86,A85)</f>
        <v/>
      </c>
      <c r="F85">
        <f>AVERAGEIFS(TLX!$D$2:$D$86,TLX!$A$2:$A$86,A85)</f>
        <v/>
      </c>
      <c r="G85">
        <f>AVERAGEIFS(TLX!$E$2:$E$86,TLX!$A$2:$A$86,A85)</f>
        <v/>
      </c>
      <c r="H85">
        <f>AVERAGEIFS(TLX!$F$2:$F$86,TLX!$A$2:$A$86,A85)</f>
        <v/>
      </c>
      <c r="I85">
        <f>AVERAGEIFS(TLX!$G$2:$G$86,TLX!$A$2:$A$86,A85)</f>
        <v/>
      </c>
      <c r="J85">
        <f>IFERROR(AVERAGEIFS(TOAST!$K$2:$K$86,TOAST!$A$2:$A$86,A85),NA())</f>
        <v/>
      </c>
      <c r="K85">
        <f>IFERROR(AVERAGEIFS(TOAST!$L$2:$L$86,TOAST!$A$2:$A$86,A85),NA())</f>
        <v/>
      </c>
      <c r="L85">
        <f>IFERROR(AVERAGEIFS(TOAST!$M$2:$M$86,TOAST!$A$2:$A$86,A85),NA())</f>
        <v/>
      </c>
      <c r="M85">
        <f>AVERAGEIFS(Sessions!$H$2:$H$511,Sessions!$A$2:$A$511,A85)</f>
        <v/>
      </c>
      <c r="N85">
        <f>AVERAGEIFS(Sessions!$U$2:$U$511,Sessions!$A$2:$A$511,A85)</f>
        <v/>
      </c>
      <c r="O85">
        <f>AVERAGEIFS(Sessions!$I$2:$I$511,Sessions!$A$2:$A$511,A85)</f>
        <v/>
      </c>
      <c r="P85">
        <f>_xlfn.RANK.AVG(C85,$C$2:$C$86,1)</f>
        <v/>
      </c>
      <c r="Q85">
        <f>_xlfn.RANK.AVG(D85,$D$2:$D$86,1)</f>
        <v/>
      </c>
      <c r="R85">
        <f>_xlfn.RANK.AVG(L85,$L$2:$L$86,1)</f>
        <v/>
      </c>
      <c r="S85">
        <f>_xlfn.RANK.AVG(M85,$M$2:$M$86,1)</f>
        <v/>
      </c>
    </row>
    <row r="86">
      <c r="A86" t="inlineStr">
        <is>
          <t>user_0205</t>
        </is>
      </c>
      <c r="B86">
        <f>VLOOKUP(A86,Participants!$A$2:$B$86,2,FALSE)</f>
        <v/>
      </c>
      <c r="C86">
        <f>AVERAGEIFS(SUS!$W$2:$W$86,SUS!$A$2:$A$86,A86)</f>
        <v/>
      </c>
      <c r="D86">
        <f>AVERAGEIFS(TLX!$H$2:$H$86,TLX!$A$2:$A$86,A86)</f>
        <v/>
      </c>
      <c r="E86">
        <f>AVERAGEIFS(TLX!$B$2:$B$86,TLX!$A$2:$A$86,A86)</f>
        <v/>
      </c>
      <c r="F86">
        <f>AVERAGEIFS(TLX!$D$2:$D$86,TLX!$A$2:$A$86,A86)</f>
        <v/>
      </c>
      <c r="G86">
        <f>AVERAGEIFS(TLX!$E$2:$E$86,TLX!$A$2:$A$86,A86)</f>
        <v/>
      </c>
      <c r="H86">
        <f>AVERAGEIFS(TLX!$F$2:$F$86,TLX!$A$2:$A$86,A86)</f>
        <v/>
      </c>
      <c r="I86">
        <f>AVERAGEIFS(TLX!$G$2:$G$86,TLX!$A$2:$A$86,A86)</f>
        <v/>
      </c>
      <c r="J86">
        <f>IFERROR(AVERAGEIFS(TOAST!$K$2:$K$86,TOAST!$A$2:$A$86,A86),NA())</f>
        <v/>
      </c>
      <c r="K86">
        <f>IFERROR(AVERAGEIFS(TOAST!$L$2:$L$86,TOAST!$A$2:$A$86,A86),NA())</f>
        <v/>
      </c>
      <c r="L86">
        <f>IFERROR(AVERAGEIFS(TOAST!$M$2:$M$86,TOAST!$A$2:$A$86,A86),NA())</f>
        <v/>
      </c>
      <c r="M86">
        <f>AVERAGEIFS(Sessions!$H$2:$H$511,Sessions!$A$2:$A$511,A86)</f>
        <v/>
      </c>
      <c r="N86">
        <f>AVERAGEIFS(Sessions!$U$2:$U$511,Sessions!$A$2:$A$511,A86)</f>
        <v/>
      </c>
      <c r="O86">
        <f>AVERAGEIFS(Sessions!$I$2:$I$511,Sessions!$A$2:$A$511,A86)</f>
        <v/>
      </c>
      <c r="P86">
        <f>_xlfn.RANK.AVG(C86,$C$2:$C$86,1)</f>
        <v/>
      </c>
      <c r="Q86">
        <f>_xlfn.RANK.AVG(D86,$D$2:$D$86,1)</f>
        <v/>
      </c>
      <c r="R86">
        <f>_xlfn.RANK.AVG(L86,$L$2:$L$86,1)</f>
        <v/>
      </c>
      <c r="S86">
        <f>_xlfn.RANK.AVG(M86,$M$2:$M$86,1)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3" t="inlineStr">
        <is>
          <t>Internal consistency (Cronbach's alpha) -- computed from BIS data</t>
        </is>
      </c>
    </row>
    <row r="2">
      <c r="A2" s="2" t="inlineStr">
        <is>
          <t>Scale</t>
        </is>
      </c>
      <c r="B2" s="2" t="inlineStr">
        <is>
          <t>k items</t>
        </is>
      </c>
      <c r="C2" s="2" t="inlineStr">
        <is>
          <t>N rows</t>
        </is>
      </c>
      <c r="D2" s="2" t="inlineStr">
        <is>
          <t>Sum of item variances</t>
        </is>
      </c>
      <c r="E2" s="2" t="inlineStr">
        <is>
          <t>Variance of total</t>
        </is>
      </c>
      <c r="F2" s="2" t="inlineStr">
        <is>
          <t>alpha (computed)</t>
        </is>
      </c>
      <c r="G2" s="2" t="inlineStr">
        <is>
          <t>alpha (paper)</t>
        </is>
      </c>
      <c r="H2" s="2" t="inlineStr">
        <is>
          <t>|Delta|</t>
        </is>
      </c>
    </row>
    <row r="3">
      <c r="A3" t="inlineStr">
        <is>
          <t>SUS (10 items, polarity-adjusted)</t>
        </is>
      </c>
      <c r="B3" t="n">
        <v>10</v>
      </c>
      <c r="C3" t="n">
        <v>85</v>
      </c>
      <c r="D3">
        <f>_xlfn.VAR.S(SUS!L$2:L$86)+_xlfn.VAR.S(SUS!M$2:M$86)+_xlfn.VAR.S(SUS!N$2:N$86)+_xlfn.VAR.S(SUS!O$2:O$86)+_xlfn.VAR.S(SUS!P$2:P$86)+_xlfn.VAR.S(SUS!Q$2:Q$86)+_xlfn.VAR.S(SUS!R$2:R$86)+_xlfn.VAR.S(SUS!S$2:S$86)+_xlfn.VAR.S(SUS!T$2:T$86)+_xlfn.VAR.S(SUS!U$2:U$86)</f>
        <v/>
      </c>
      <c r="E3">
        <f>_xlfn.VAR.S(SUS!V$2:V$86)</f>
        <v/>
      </c>
      <c r="F3">
        <f>(10/9)*(1-D3/E3)</f>
        <v/>
      </c>
      <c r="G3" t="n">
        <v>0.829</v>
      </c>
      <c r="H3">
        <f>ABS(F3-G3)</f>
        <v/>
      </c>
    </row>
    <row r="4">
      <c r="A4" t="inlineStr">
        <is>
          <t>NASA-TLX (5 subscales, no physical demand)</t>
        </is>
      </c>
      <c r="B4" t="n">
        <v>5</v>
      </c>
      <c r="C4" t="n">
        <v>85</v>
      </c>
      <c r="D4">
        <f>_xlfn.VAR.S(TLX!B$2:B$86)+_xlfn.VAR.S(TLX!D$2:D$86)+_xlfn.VAR.S(TLX!E$2:E$86)+_xlfn.VAR.S(TLX!F$2:F$86)+_xlfn.VAR.S(TLX!G$2:G$86)</f>
        <v/>
      </c>
      <c r="E4">
        <f>36*_xlfn.VAR.S(TLX!H$2:H$86)</f>
        <v/>
      </c>
      <c r="F4">
        <f>(5/4)*(1-D4/E4)</f>
        <v/>
      </c>
      <c r="G4" t="n">
        <v>0.8120000000000001</v>
      </c>
      <c r="H4">
        <f>ABS(F4-G4)</f>
        <v/>
      </c>
    </row>
    <row r="5">
      <c r="A5" t="inlineStr">
        <is>
          <t>TOAST overall (9 items)</t>
        </is>
      </c>
      <c r="B5" t="n">
        <v>9</v>
      </c>
      <c r="C5" t="n">
        <v>85</v>
      </c>
      <c r="D5">
        <f>_xlfn.VAR.S(TOAST!B$2:B$86)+_xlfn.VAR.S(TOAST!C$2:C$86)+_xlfn.VAR.S(TOAST!D$2:D$86)+_xlfn.VAR.S(TOAST!E$2:E$86)+_xlfn.VAR.S(TOAST!F$2:F$86)+_xlfn.VAR.S(TOAST!G$2:G$86)+_xlfn.VAR.S(TOAST!H$2:H$86)+_xlfn.VAR.S(TOAST!I$2:I$86)+_xlfn.VAR.S(TOAST!J$2:J$86)</f>
        <v/>
      </c>
      <c r="E5">
        <f>81*_xlfn.VAR.S(TOAST!M$2:M$86)</f>
        <v/>
      </c>
      <c r="F5">
        <f>(9/8)*(1-D5/E5)</f>
        <v/>
      </c>
      <c r="G5" t="n">
        <v>0.862</v>
      </c>
      <c r="H5">
        <f>ABS(F5-G5)</f>
        <v/>
      </c>
    </row>
    <row r="6">
      <c r="A6" t="inlineStr">
        <is>
          <t xml:space="preserve">  TOAST Understanding (items 1-4)</t>
        </is>
      </c>
      <c r="B6" t="n">
        <v>4</v>
      </c>
      <c r="C6" t="n">
        <v>85</v>
      </c>
      <c r="D6">
        <f>_xlfn.VAR.S(TOAST!B$2:B$86)+_xlfn.VAR.S(TOAST!C$2:C$86)+_xlfn.VAR.S(TOAST!D$2:D$86)+_xlfn.VAR.S(TOAST!E$2:E$86)</f>
        <v/>
      </c>
      <c r="E6">
        <f>_xlfn.VAR.S(TOAST!O$2:O$86)</f>
        <v/>
      </c>
      <c r="F6">
        <f>(4/3)*(1-D6/E6)</f>
        <v/>
      </c>
      <c r="G6" t="n">
        <v>0.8149999999999999</v>
      </c>
      <c r="H6">
        <f>ABS(F6-G6)</f>
        <v/>
      </c>
    </row>
    <row r="7">
      <c r="A7" t="inlineStr">
        <is>
          <t xml:space="preserve">  TOAST Performance (items 2, 5, 6, 7, 9)</t>
        </is>
      </c>
      <c r="B7" t="n">
        <v>5</v>
      </c>
      <c r="C7" t="n">
        <v>85</v>
      </c>
      <c r="D7">
        <f>_xlfn.VAR.S(TOAST!C$2:C$86)+_xlfn.VAR.S(TOAST!F$2:F$86)+_xlfn.VAR.S(TOAST!G$2:G$86)+_xlfn.VAR.S(TOAST!H$2:H$86)+_xlfn.VAR.S(TOAST!J$2:J$86)</f>
        <v/>
      </c>
      <c r="E7">
        <f>25*_xlfn.VAR.S(TOAST!L$2:L$86)</f>
        <v/>
      </c>
      <c r="F7">
        <f>(5/4)*(1-D7/E7)</f>
        <v/>
      </c>
      <c r="G7" t="n">
        <v>0.8090000000000001</v>
      </c>
      <c r="H7">
        <f>ABS(F7-G7)</f>
        <v/>
      </c>
    </row>
    <row r="8"/>
    <row r="9">
      <c r="A9" s="3" t="inlineStr">
        <is>
          <t>Between-group comparisons (Expert vs Non-expert, Table 4)</t>
        </is>
      </c>
    </row>
    <row r="10">
      <c r="A10" s="2" t="inlineStr">
        <is>
          <t>Measure</t>
        </is>
      </c>
      <c r="B10" s="2" t="inlineStr">
        <is>
          <t>Group</t>
        </is>
      </c>
      <c r="C10" s="2" t="inlineStr">
        <is>
          <t>N</t>
        </is>
      </c>
      <c r="D10" s="2" t="inlineStr">
        <is>
          <t>Mean (computed)</t>
        </is>
      </c>
      <c r="E10" s="2" t="inlineStr">
        <is>
          <t>Mean (paper)</t>
        </is>
      </c>
      <c r="F10" s="2" t="inlineStr">
        <is>
          <t>|Delta M|</t>
        </is>
      </c>
      <c r="G10" s="2" t="inlineStr">
        <is>
          <t>SD</t>
        </is>
      </c>
      <c r="H10" s="2" t="inlineStr">
        <is>
          <t>95% CI low</t>
        </is>
      </c>
      <c r="I10" s="2" t="inlineStr">
        <is>
          <t>95% CI high</t>
        </is>
      </c>
      <c r="J10" s="2" t="inlineStr">
        <is>
          <t>Cohen's d (computed)</t>
        </is>
      </c>
      <c r="K10" s="2" t="inlineStr">
        <is>
          <t>Cohen's d (paper)</t>
        </is>
      </c>
      <c r="L10" s="2" t="inlineStr">
        <is>
          <t>|Delta d|</t>
        </is>
      </c>
      <c r="M10" s="2" t="inlineStr">
        <is>
          <t>Mann-Whitney U</t>
        </is>
      </c>
      <c r="N10" s="2" t="inlineStr">
        <is>
          <t>z</t>
        </is>
      </c>
      <c r="O10" s="2" t="inlineStr">
        <is>
          <t>p (two-sided)</t>
        </is>
      </c>
    </row>
    <row r="11">
      <c r="A11" t="inlineStr">
        <is>
          <t>SUS Score (0-100)</t>
        </is>
      </c>
      <c r="B11" t="inlineStr">
        <is>
          <t>Expert</t>
        </is>
      </c>
      <c r="C11">
        <f>COUNTIFS(PerParticipant!$B$2:$B$86,"expert",PerParticipant!$C$2:$C$86,"&lt;&gt;")</f>
        <v/>
      </c>
      <c r="D11">
        <f>AVERAGEIFS(PerParticipant!$C$2:$C$86,PerParticipant!$B$2:$B$86,"expert")</f>
        <v/>
      </c>
      <c r="E11" t="n">
        <v>71.59999999999999</v>
      </c>
      <c r="F11">
        <f>ABS(D11-E11)</f>
        <v/>
      </c>
      <c r="G11">
        <f>SQRT(SUMPRODUCT((PerParticipant!$B$2:$B$86="expert")*ISNUMBER(PerParticipant!$C$2:$C$86)*(PerParticipant!$C$2:$C$86-AVERAGEIFS(PerParticipant!$C$2:$C$86,PerParticipant!$B$2:$B$86,"expert"))^2)/(C11-1))</f>
        <v/>
      </c>
      <c r="H11">
        <f>D11-_xlfn.T.INV.2T(0.05,C11-1)*G11/SQRT(C11)</f>
        <v/>
      </c>
      <c r="I11">
        <f>D11+_xlfn.T.INV.2T(0.05,C11-1)*G11/SQRT(C11)</f>
        <v/>
      </c>
    </row>
    <row r="12">
      <c r="A12" t="inlineStr">
        <is>
          <t>SUS Score (0-100)</t>
        </is>
      </c>
      <c r="B12" t="inlineStr">
        <is>
          <t>Non-expert</t>
        </is>
      </c>
      <c r="C12">
        <f>COUNTIFS(PerParticipant!$B$2:$B$86,"non_expert",PerParticipant!$C$2:$C$86,"&lt;&gt;")</f>
        <v/>
      </c>
      <c r="D12">
        <f>AVERAGEIFS(PerParticipant!$C$2:$C$86,PerParticipant!$B$2:$B$86,"non_expert")</f>
        <v/>
      </c>
      <c r="E12" t="n">
        <v>66.59999999999999</v>
      </c>
      <c r="F12">
        <f>ABS(D12-E12)</f>
        <v/>
      </c>
      <c r="G12">
        <f>SQRT(SUMPRODUCT((PerParticipant!$B$2:$B$86="non_expert")*ISNUMBER(PerParticipant!$C$2:$C$86)*(PerParticipant!$C$2:$C$86-AVERAGEIFS(PerParticipant!$C$2:$C$86,PerParticipant!$B$2:$B$86,"non_expert"))^2)/(C12-1))</f>
        <v/>
      </c>
      <c r="H12">
        <f>D12-_xlfn.T.INV.2T(0.05,C12-1)*G12/SQRT(C12)</f>
        <v/>
      </c>
      <c r="I12">
        <f>D12+_xlfn.T.INV.2T(0.05,C12-1)*G12/SQRT(C12)</f>
        <v/>
      </c>
      <c r="J12">
        <f>(D11-D12)/SQRT(((C11-1)*G11^2+(C12-1)*G12^2)/(C11+C12-2))</f>
        <v/>
      </c>
      <c r="K12" t="n">
        <v>0.34</v>
      </c>
      <c r="L12">
        <f>ABS(J12-K12)</f>
        <v/>
      </c>
      <c r="M12">
        <f>MIN((SUMIFS(PerParticipant!$P$2:$P$86,PerParticipant!$B$2:$B$86,"expert")-C11*(C11+1)/2),(C11*C12-(SUMIFS(PerParticipant!$P$2:$P$86,PerParticipant!$B$2:$B$86,"expert")-C11*(C11+1)/2)))</f>
        <v/>
      </c>
      <c r="N12">
        <f>(MIN((SUMIFS(PerParticipant!$P$2:$P$86,PerParticipant!$B$2:$B$86,"expert")-C11*(C11+1)/2),(C11*C12-(SUMIFS(PerParticipant!$P$2:$P$86,PerParticipant!$B$2:$B$86,"expert")-C11*(C11+1)/2)))-(C11*C12/2))/SQRT(C11*C12*(C11+C12+1)/12)</f>
        <v/>
      </c>
      <c r="O12">
        <f>2*_xlfn.NORM.S.DIST(-ABS(N12),TRUE)</f>
        <v/>
      </c>
    </row>
    <row r="13">
      <c r="A13" t="inlineStr">
        <is>
          <t>Raw TLX Overall</t>
        </is>
      </c>
      <c r="B13" t="inlineStr">
        <is>
          <t>Expert</t>
        </is>
      </c>
      <c r="C13">
        <f>COUNTIFS(PerParticipant!$B$2:$B$86,"expert",PerParticipant!$D$2:$D$86,"&lt;&gt;")</f>
        <v/>
      </c>
      <c r="D13">
        <f>AVERAGEIFS(PerParticipant!$D$2:$D$86,PerParticipant!$B$2:$B$86,"expert")</f>
        <v/>
      </c>
      <c r="E13" t="n">
        <v>20.2</v>
      </c>
      <c r="F13">
        <f>ABS(D13-E13)</f>
        <v/>
      </c>
      <c r="G13">
        <f>SQRT(SUMPRODUCT((PerParticipant!$B$2:$B$86="expert")*ISNUMBER(PerParticipant!$D$2:$D$86)*(PerParticipant!$D$2:$D$86-AVERAGEIFS(PerParticipant!$D$2:$D$86,PerParticipant!$B$2:$B$86,"expert"))^2)/(C13-1))</f>
        <v/>
      </c>
      <c r="H13">
        <f>D13-_xlfn.T.INV.2T(0.05,C13-1)*G13/SQRT(C13)</f>
        <v/>
      </c>
      <c r="I13">
        <f>D13+_xlfn.T.INV.2T(0.05,C13-1)*G13/SQRT(C13)</f>
        <v/>
      </c>
    </row>
    <row r="14">
      <c r="A14" t="inlineStr">
        <is>
          <t>Raw TLX Overall</t>
        </is>
      </c>
      <c r="B14" t="inlineStr">
        <is>
          <t>Non-expert</t>
        </is>
      </c>
      <c r="C14">
        <f>COUNTIFS(PerParticipant!$B$2:$B$86,"non_expert",PerParticipant!$D$2:$D$86,"&lt;&gt;")</f>
        <v/>
      </c>
      <c r="D14">
        <f>AVERAGEIFS(PerParticipant!$D$2:$D$86,PerParticipant!$B$2:$B$86,"non_expert")</f>
        <v/>
      </c>
      <c r="E14" t="n">
        <v>29.2</v>
      </c>
      <c r="F14">
        <f>ABS(D14-E14)</f>
        <v/>
      </c>
      <c r="G14">
        <f>SQRT(SUMPRODUCT((PerParticipant!$B$2:$B$86="non_expert")*ISNUMBER(PerParticipant!$D$2:$D$86)*(PerParticipant!$D$2:$D$86-AVERAGEIFS(PerParticipant!$D$2:$D$86,PerParticipant!$B$2:$B$86,"non_expert"))^2)/(C14-1))</f>
        <v/>
      </c>
      <c r="H14">
        <f>D14-_xlfn.T.INV.2T(0.05,C14-1)*G14/SQRT(C14)</f>
        <v/>
      </c>
      <c r="I14">
        <f>D14+_xlfn.T.INV.2T(0.05,C14-1)*G14/SQRT(C14)</f>
        <v/>
      </c>
      <c r="J14">
        <f>(D13-D14)/SQRT(((C13-1)*G13^2+(C14-1)*G14^2)/(C13+C14-2))</f>
        <v/>
      </c>
      <c r="K14" t="n">
        <v>-0.59</v>
      </c>
      <c r="L14">
        <f>ABS(J14-K14)</f>
        <v/>
      </c>
      <c r="M14">
        <f>MIN((SUMIFS(PerParticipant!$Q$2:$Q$86,PerParticipant!$B$2:$B$86,"expert")-C13*(C13+1)/2),(C13*C14-(SUMIFS(PerParticipant!$Q$2:$Q$86,PerParticipant!$B$2:$B$86,"expert")-C13*(C13+1)/2)))</f>
        <v/>
      </c>
      <c r="N14">
        <f>(MIN((SUMIFS(PerParticipant!$Q$2:$Q$86,PerParticipant!$B$2:$B$86,"expert")-C13*(C13+1)/2),(C13*C14-(SUMIFS(PerParticipant!$Q$2:$Q$86,PerParticipant!$B$2:$B$86,"expert")-C13*(C13+1)/2)))-(C13*C14/2))/SQRT(C13*C14*(C13+C14+1)/12)</f>
        <v/>
      </c>
      <c r="O14">
        <f>2*_xlfn.NORM.S.DIST(-ABS(N14),TRUE)</f>
        <v/>
      </c>
    </row>
    <row r="15">
      <c r="A15" t="inlineStr">
        <is>
          <t>TLX Mental Demand</t>
        </is>
      </c>
      <c r="B15" t="inlineStr">
        <is>
          <t>Expert</t>
        </is>
      </c>
      <c r="C15">
        <f>COUNTIFS(PerParticipant!$B$2:$B$86,"expert",PerParticipant!$E$2:$E$86,"&lt;&gt;")</f>
        <v/>
      </c>
      <c r="D15">
        <f>AVERAGEIFS(PerParticipant!$E$2:$E$86,PerParticipant!$B$2:$B$86,"expert")</f>
        <v/>
      </c>
      <c r="E15" t="n">
        <v>21.3</v>
      </c>
      <c r="F15">
        <f>ABS(D15-E15)</f>
        <v/>
      </c>
      <c r="G15">
        <f>SQRT(SUMPRODUCT((PerParticipant!$B$2:$B$86="expert")*ISNUMBER(PerParticipant!$E$2:$E$86)*(PerParticipant!$E$2:$E$86-AVERAGEIFS(PerParticipant!$E$2:$E$86,PerParticipant!$B$2:$B$86,"expert"))^2)/(C15-1))</f>
        <v/>
      </c>
      <c r="H15">
        <f>D15-_xlfn.T.INV.2T(0.05,C15-1)*G15/SQRT(C15)</f>
        <v/>
      </c>
      <c r="I15">
        <f>D15+_xlfn.T.INV.2T(0.05,C15-1)*G15/SQRT(C15)</f>
        <v/>
      </c>
    </row>
    <row r="16">
      <c r="A16" t="inlineStr">
        <is>
          <t>TLX Mental Demand</t>
        </is>
      </c>
      <c r="B16" t="inlineStr">
        <is>
          <t>Non-expert</t>
        </is>
      </c>
      <c r="C16">
        <f>COUNTIFS(PerParticipant!$B$2:$B$86,"non_expert",PerParticipant!$E$2:$E$86,"&lt;&gt;")</f>
        <v/>
      </c>
      <c r="D16">
        <f>AVERAGEIFS(PerParticipant!$E$2:$E$86,PerParticipant!$B$2:$B$86,"non_expert")</f>
        <v/>
      </c>
      <c r="E16" t="n">
        <v>34.2</v>
      </c>
      <c r="F16">
        <f>ABS(D16-E16)</f>
        <v/>
      </c>
      <c r="G16">
        <f>SQRT(SUMPRODUCT((PerParticipant!$B$2:$B$86="non_expert")*ISNUMBER(PerParticipant!$E$2:$E$86)*(PerParticipant!$E$2:$E$86-AVERAGEIFS(PerParticipant!$E$2:$E$86,PerParticipant!$B$2:$B$86,"non_expert"))^2)/(C16-1))</f>
        <v/>
      </c>
      <c r="H16">
        <f>D16-_xlfn.T.INV.2T(0.05,C16-1)*G16/SQRT(C16)</f>
        <v/>
      </c>
      <c r="I16">
        <f>D16+_xlfn.T.INV.2T(0.05,C16-1)*G16/SQRT(C16)</f>
        <v/>
      </c>
      <c r="J16">
        <f>(D15-D16)/SQRT(((C15-1)*G15^2+(C16-1)*G16^2)/(C15+C16-2))</f>
        <v/>
      </c>
      <c r="K16" t="n">
        <v>-0.5600000000000001</v>
      </c>
      <c r="L16">
        <f>ABS(J16-K16)</f>
        <v/>
      </c>
      <c r="M16" t="inlineStr"/>
      <c r="N16" t="inlineStr"/>
      <c r="O16" t="inlineStr"/>
    </row>
    <row r="17">
      <c r="A17" t="inlineStr">
        <is>
          <t>TLX Temporal Demand</t>
        </is>
      </c>
      <c r="B17" t="inlineStr">
        <is>
          <t>Expert</t>
        </is>
      </c>
      <c r="C17">
        <f>COUNTIFS(PerParticipant!$B$2:$B$86,"expert",PerParticipant!$F$2:$F$86,"&lt;&gt;")</f>
        <v/>
      </c>
      <c r="D17">
        <f>AVERAGEIFS(PerParticipant!$F$2:$F$86,PerParticipant!$B$2:$B$86,"expert")</f>
        <v/>
      </c>
      <c r="E17" t="n">
        <v>12.8</v>
      </c>
      <c r="F17">
        <f>ABS(D17-E17)</f>
        <v/>
      </c>
      <c r="G17">
        <f>SQRT(SUMPRODUCT((PerParticipant!$B$2:$B$86="expert")*ISNUMBER(PerParticipant!$F$2:$F$86)*(PerParticipant!$F$2:$F$86-AVERAGEIFS(PerParticipant!$F$2:$F$86,PerParticipant!$B$2:$B$86,"expert"))^2)/(C17-1))</f>
        <v/>
      </c>
      <c r="H17">
        <f>D17-_xlfn.T.INV.2T(0.05,C17-1)*G17/SQRT(C17)</f>
        <v/>
      </c>
      <c r="I17">
        <f>D17+_xlfn.T.INV.2T(0.05,C17-1)*G17/SQRT(C17)</f>
        <v/>
      </c>
    </row>
    <row r="18">
      <c r="A18" t="inlineStr">
        <is>
          <t>TLX Temporal Demand</t>
        </is>
      </c>
      <c r="B18" t="inlineStr">
        <is>
          <t>Non-expert</t>
        </is>
      </c>
      <c r="C18">
        <f>COUNTIFS(PerParticipant!$B$2:$B$86,"non_expert",PerParticipant!$F$2:$F$86,"&lt;&gt;")</f>
        <v/>
      </c>
      <c r="D18">
        <f>AVERAGEIFS(PerParticipant!$F$2:$F$86,PerParticipant!$B$2:$B$86,"non_expert")</f>
        <v/>
      </c>
      <c r="E18" t="n">
        <v>26.8</v>
      </c>
      <c r="F18">
        <f>ABS(D18-E18)</f>
        <v/>
      </c>
      <c r="G18">
        <f>SQRT(SUMPRODUCT((PerParticipant!$B$2:$B$86="non_expert")*ISNUMBER(PerParticipant!$F$2:$F$86)*(PerParticipant!$F$2:$F$86-AVERAGEIFS(PerParticipant!$F$2:$F$86,PerParticipant!$B$2:$B$86,"non_expert"))^2)/(C18-1))</f>
        <v/>
      </c>
      <c r="H18">
        <f>D18-_xlfn.T.INV.2T(0.05,C18-1)*G18/SQRT(C18)</f>
        <v/>
      </c>
      <c r="I18">
        <f>D18+_xlfn.T.INV.2T(0.05,C18-1)*G18/SQRT(C18)</f>
        <v/>
      </c>
      <c r="J18">
        <f>(D17-D18)/SQRT(((C17-1)*G17^2+(C18-1)*G18^2)/(C17+C18-2))</f>
        <v/>
      </c>
      <c r="K18" t="n">
        <v>-0.59</v>
      </c>
      <c r="L18">
        <f>ABS(J18-K18)</f>
        <v/>
      </c>
      <c r="M18" t="inlineStr"/>
      <c r="N18" t="inlineStr"/>
      <c r="O18" t="inlineStr"/>
    </row>
    <row r="19">
      <c r="A19" t="inlineStr">
        <is>
          <t>TLX Performance</t>
        </is>
      </c>
      <c r="B19" t="inlineStr">
        <is>
          <t>Expert</t>
        </is>
      </c>
      <c r="C19">
        <f>COUNTIFS(PerParticipant!$B$2:$B$86,"expert",PerParticipant!$G$2:$G$86,"&lt;&gt;")</f>
        <v/>
      </c>
      <c r="D19">
        <f>AVERAGEIFS(PerParticipant!$G$2:$G$86,PerParticipant!$B$2:$B$86,"expert")</f>
        <v/>
      </c>
      <c r="E19" t="n">
        <v>53.1</v>
      </c>
      <c r="F19">
        <f>ABS(D19-E19)</f>
        <v/>
      </c>
      <c r="G19">
        <f>SQRT(SUMPRODUCT((PerParticipant!$B$2:$B$86="expert")*ISNUMBER(PerParticipant!$G$2:$G$86)*(PerParticipant!$G$2:$G$86-AVERAGEIFS(PerParticipant!$G$2:$G$86,PerParticipant!$B$2:$B$86,"expert"))^2)/(C19-1))</f>
        <v/>
      </c>
      <c r="H19">
        <f>D19-_xlfn.T.INV.2T(0.05,C19-1)*G19/SQRT(C19)</f>
        <v/>
      </c>
      <c r="I19">
        <f>D19+_xlfn.T.INV.2T(0.05,C19-1)*G19/SQRT(C19)</f>
        <v/>
      </c>
    </row>
    <row r="20">
      <c r="A20" t="inlineStr">
        <is>
          <t>TLX Performance</t>
        </is>
      </c>
      <c r="B20" t="inlineStr">
        <is>
          <t>Non-expert</t>
        </is>
      </c>
      <c r="C20">
        <f>COUNTIFS(PerParticipant!$B$2:$B$86,"non_expert",PerParticipant!$G$2:$G$86,"&lt;&gt;")</f>
        <v/>
      </c>
      <c r="D20">
        <f>AVERAGEIFS(PerParticipant!$G$2:$G$86,PerParticipant!$B$2:$B$86,"non_expert")</f>
        <v/>
      </c>
      <c r="E20" t="n">
        <v>62.6</v>
      </c>
      <c r="F20">
        <f>ABS(D20-E20)</f>
        <v/>
      </c>
      <c r="G20">
        <f>SQRT(SUMPRODUCT((PerParticipant!$B$2:$B$86="non_expert")*ISNUMBER(PerParticipant!$G$2:$G$86)*(PerParticipant!$G$2:$G$86-AVERAGEIFS(PerParticipant!$G$2:$G$86,PerParticipant!$B$2:$B$86,"non_expert"))^2)/(C20-1))</f>
        <v/>
      </c>
      <c r="H20">
        <f>D20-_xlfn.T.INV.2T(0.05,C20-1)*G20/SQRT(C20)</f>
        <v/>
      </c>
      <c r="I20">
        <f>D20+_xlfn.T.INV.2T(0.05,C20-1)*G20/SQRT(C20)</f>
        <v/>
      </c>
      <c r="J20">
        <f>(D19-D20)/SQRT(((C19-1)*G19^2+(C20-1)*G20^2)/(C19+C20-2))</f>
        <v/>
      </c>
      <c r="K20" t="n">
        <v>-0.33</v>
      </c>
      <c r="L20">
        <f>ABS(J20-K20)</f>
        <v/>
      </c>
      <c r="M20" t="inlineStr"/>
      <c r="N20" t="inlineStr"/>
      <c r="O20" t="inlineStr"/>
    </row>
    <row r="21">
      <c r="A21" t="inlineStr">
        <is>
          <t>TLX Effort</t>
        </is>
      </c>
      <c r="B21" t="inlineStr">
        <is>
          <t>Expert</t>
        </is>
      </c>
      <c r="C21">
        <f>COUNTIFS(PerParticipant!$B$2:$B$86,"expert",PerParticipant!$H$2:$H$86,"&lt;&gt;")</f>
        <v/>
      </c>
      <c r="D21">
        <f>AVERAGEIFS(PerParticipant!$H$2:$H$86,PerParticipant!$B$2:$B$86,"expert")</f>
        <v/>
      </c>
      <c r="E21" t="n">
        <v>20.3</v>
      </c>
      <c r="F21">
        <f>ABS(D21-E21)</f>
        <v/>
      </c>
      <c r="G21">
        <f>SQRT(SUMPRODUCT((PerParticipant!$B$2:$B$86="expert")*ISNUMBER(PerParticipant!$H$2:$H$86)*(PerParticipant!$H$2:$H$86-AVERAGEIFS(PerParticipant!$H$2:$H$86,PerParticipant!$B$2:$B$86,"expert"))^2)/(C21-1))</f>
        <v/>
      </c>
      <c r="H21">
        <f>D21-_xlfn.T.INV.2T(0.05,C21-1)*G21/SQRT(C21)</f>
        <v/>
      </c>
      <c r="I21">
        <f>D21+_xlfn.T.INV.2T(0.05,C21-1)*G21/SQRT(C21)</f>
        <v/>
      </c>
    </row>
    <row r="22">
      <c r="A22" t="inlineStr">
        <is>
          <t>TLX Effort</t>
        </is>
      </c>
      <c r="B22" t="inlineStr">
        <is>
          <t>Non-expert</t>
        </is>
      </c>
      <c r="C22">
        <f>COUNTIFS(PerParticipant!$B$2:$B$86,"non_expert",PerParticipant!$H$2:$H$86,"&lt;&gt;")</f>
        <v/>
      </c>
      <c r="D22">
        <f>AVERAGEIFS(PerParticipant!$H$2:$H$86,PerParticipant!$B$2:$B$86,"non_expert")</f>
        <v/>
      </c>
      <c r="E22" t="n">
        <v>28.7</v>
      </c>
      <c r="F22">
        <f>ABS(D22-E22)</f>
        <v/>
      </c>
      <c r="G22">
        <f>SQRT(SUMPRODUCT((PerParticipant!$B$2:$B$86="non_expert")*ISNUMBER(PerParticipant!$H$2:$H$86)*(PerParticipant!$H$2:$H$86-AVERAGEIFS(PerParticipant!$H$2:$H$86,PerParticipant!$B$2:$B$86,"non_expert"))^2)/(C22-1))</f>
        <v/>
      </c>
      <c r="H22">
        <f>D22-_xlfn.T.INV.2T(0.05,C22-1)*G22/SQRT(C22)</f>
        <v/>
      </c>
      <c r="I22">
        <f>D22+_xlfn.T.INV.2T(0.05,C22-1)*G22/SQRT(C22)</f>
        <v/>
      </c>
      <c r="J22">
        <f>(D21-D22)/SQRT(((C21-1)*G21^2+(C22-1)*G22^2)/(C21+C22-2))</f>
        <v/>
      </c>
      <c r="K22" t="n">
        <v>-0.37</v>
      </c>
      <c r="L22">
        <f>ABS(J22-K22)</f>
        <v/>
      </c>
      <c r="M22" t="inlineStr"/>
      <c r="N22" t="inlineStr"/>
      <c r="O22" t="inlineStr"/>
    </row>
    <row r="23">
      <c r="A23" t="inlineStr">
        <is>
          <t>TLX Frustration</t>
        </is>
      </c>
      <c r="B23" t="inlineStr">
        <is>
          <t>Expert</t>
        </is>
      </c>
      <c r="C23">
        <f>COUNTIFS(PerParticipant!$B$2:$B$86,"expert",PerParticipant!$I$2:$I$86,"&lt;&gt;")</f>
        <v/>
      </c>
      <c r="D23">
        <f>AVERAGEIFS(PerParticipant!$I$2:$I$86,PerParticipant!$B$2:$B$86,"expert")</f>
        <v/>
      </c>
      <c r="E23" t="n">
        <v>13.4</v>
      </c>
      <c r="F23">
        <f>ABS(D23-E23)</f>
        <v/>
      </c>
      <c r="G23">
        <f>SQRT(SUMPRODUCT((PerParticipant!$B$2:$B$86="expert")*ISNUMBER(PerParticipant!$I$2:$I$86)*(PerParticipant!$I$2:$I$86-AVERAGEIFS(PerParticipant!$I$2:$I$86,PerParticipant!$B$2:$B$86,"expert"))^2)/(C23-1))</f>
        <v/>
      </c>
      <c r="H23">
        <f>D23-_xlfn.T.INV.2T(0.05,C23-1)*G23/SQRT(C23)</f>
        <v/>
      </c>
      <c r="I23">
        <f>D23+_xlfn.T.INV.2T(0.05,C23-1)*G23/SQRT(C23)</f>
        <v/>
      </c>
    </row>
    <row r="24">
      <c r="A24" t="inlineStr">
        <is>
          <t>TLX Frustration</t>
        </is>
      </c>
      <c r="B24" t="inlineStr">
        <is>
          <t>Non-expert</t>
        </is>
      </c>
      <c r="C24">
        <f>COUNTIFS(PerParticipant!$B$2:$B$86,"non_expert",PerParticipant!$I$2:$I$86,"&lt;&gt;")</f>
        <v/>
      </c>
      <c r="D24">
        <f>AVERAGEIFS(PerParticipant!$I$2:$I$86,PerParticipant!$B$2:$B$86,"non_expert")</f>
        <v/>
      </c>
      <c r="E24" t="n">
        <v>22.7</v>
      </c>
      <c r="F24">
        <f>ABS(D24-E24)</f>
        <v/>
      </c>
      <c r="G24">
        <f>SQRT(SUMPRODUCT((PerParticipant!$B$2:$B$86="non_expert")*ISNUMBER(PerParticipant!$I$2:$I$86)*(PerParticipant!$I$2:$I$86-AVERAGEIFS(PerParticipant!$I$2:$I$86,PerParticipant!$B$2:$B$86,"non_expert"))^2)/(C24-1))</f>
        <v/>
      </c>
      <c r="H24">
        <f>D24-_xlfn.T.INV.2T(0.05,C24-1)*G24/SQRT(C24)</f>
        <v/>
      </c>
      <c r="I24">
        <f>D24+_xlfn.T.INV.2T(0.05,C24-1)*G24/SQRT(C24)</f>
        <v/>
      </c>
      <c r="J24">
        <f>(D23-D24)/SQRT(((C23-1)*G23^2+(C24-1)*G24^2)/(C23+C24-2))</f>
        <v/>
      </c>
      <c r="K24" t="n">
        <v>-0.44</v>
      </c>
      <c r="L24">
        <f>ABS(J24-K24)</f>
        <v/>
      </c>
      <c r="M24" t="inlineStr"/>
      <c r="N24" t="inlineStr"/>
      <c r="O24" t="inlineStr"/>
    </row>
    <row r="25">
      <c r="A25" t="inlineStr">
        <is>
          <t>TOAST Understanding (1-7)</t>
        </is>
      </c>
      <c r="B25" t="inlineStr">
        <is>
          <t>Expert</t>
        </is>
      </c>
      <c r="C25">
        <f>COUNTIFS(PerParticipant!$B$2:$B$86,"expert",PerParticipant!$J$2:$J$86,"&lt;&gt;")</f>
        <v/>
      </c>
      <c r="D25">
        <f>AVERAGEIFS(PerParticipant!$J$2:$J$86,PerParticipant!$B$2:$B$86,"expert")</f>
        <v/>
      </c>
      <c r="E25" t="n">
        <v>5.32</v>
      </c>
      <c r="F25">
        <f>ABS(D25-E25)</f>
        <v/>
      </c>
      <c r="G25">
        <f>SQRT(SUMPRODUCT((PerParticipant!$B$2:$B$86="expert")*ISNUMBER(PerParticipant!$J$2:$J$86)*(PerParticipant!$J$2:$J$86-AVERAGEIFS(PerParticipant!$J$2:$J$86,PerParticipant!$B$2:$B$86,"expert"))^2)/(C25-1))</f>
        <v/>
      </c>
      <c r="H25">
        <f>D25-_xlfn.T.INV.2T(0.05,C25-1)*G25/SQRT(C25)</f>
        <v/>
      </c>
      <c r="I25">
        <f>D25+_xlfn.T.INV.2T(0.05,C25-1)*G25/SQRT(C25)</f>
        <v/>
      </c>
    </row>
    <row r="26">
      <c r="A26" t="inlineStr">
        <is>
          <t>TOAST Understanding (1-7)</t>
        </is>
      </c>
      <c r="B26" t="inlineStr">
        <is>
          <t>Non-expert</t>
        </is>
      </c>
      <c r="C26">
        <f>COUNTIFS(PerParticipant!$B$2:$B$86,"non_expert",PerParticipant!$J$2:$J$86,"&lt;&gt;")</f>
        <v/>
      </c>
      <c r="D26">
        <f>AVERAGEIFS(PerParticipant!$J$2:$J$86,PerParticipant!$B$2:$B$86,"non_expert")</f>
        <v/>
      </c>
      <c r="E26" t="n">
        <v>4.87</v>
      </c>
      <c r="F26">
        <f>ABS(D26-E26)</f>
        <v/>
      </c>
      <c r="G26">
        <f>SQRT(SUMPRODUCT((PerParticipant!$B$2:$B$86="non_expert")*ISNUMBER(PerParticipant!$J$2:$J$86)*(PerParticipant!$J$2:$J$86-AVERAGEIFS(PerParticipant!$J$2:$J$86,PerParticipant!$B$2:$B$86,"non_expert"))^2)/(C26-1))</f>
        <v/>
      </c>
      <c r="H26">
        <f>D26-_xlfn.T.INV.2T(0.05,C26-1)*G26/SQRT(C26)</f>
        <v/>
      </c>
      <c r="I26">
        <f>D26+_xlfn.T.INV.2T(0.05,C26-1)*G26/SQRT(C26)</f>
        <v/>
      </c>
      <c r="J26">
        <f>(D25-D26)/SQRT(((C25-1)*G25^2+(C26-1)*G26^2)/(C25+C26-2))</f>
        <v/>
      </c>
      <c r="K26" t="n">
        <v>0.55</v>
      </c>
      <c r="L26">
        <f>ABS(J26-K26)</f>
        <v/>
      </c>
      <c r="M26" t="inlineStr"/>
      <c r="N26" t="inlineStr"/>
      <c r="O26" t="inlineStr"/>
    </row>
    <row r="27">
      <c r="A27" t="inlineStr">
        <is>
          <t>TOAST Performance (1-7)</t>
        </is>
      </c>
      <c r="B27" t="inlineStr">
        <is>
          <t>Expert</t>
        </is>
      </c>
      <c r="C27">
        <f>COUNTIFS(PerParticipant!$B$2:$B$86,"expert",PerParticipant!$K$2:$K$86,"&lt;&gt;")</f>
        <v/>
      </c>
      <c r="D27">
        <f>AVERAGEIFS(PerParticipant!$K$2:$K$86,PerParticipant!$B$2:$B$86,"expert")</f>
        <v/>
      </c>
      <c r="E27" t="n">
        <v>5.34</v>
      </c>
      <c r="F27">
        <f>ABS(D27-E27)</f>
        <v/>
      </c>
      <c r="G27">
        <f>SQRT(SUMPRODUCT((PerParticipant!$B$2:$B$86="expert")*ISNUMBER(PerParticipant!$K$2:$K$86)*(PerParticipant!$K$2:$K$86-AVERAGEIFS(PerParticipant!$K$2:$K$86,PerParticipant!$B$2:$B$86,"expert"))^2)/(C27-1))</f>
        <v/>
      </c>
      <c r="H27">
        <f>D27-_xlfn.T.INV.2T(0.05,C27-1)*G27/SQRT(C27)</f>
        <v/>
      </c>
      <c r="I27">
        <f>D27+_xlfn.T.INV.2T(0.05,C27-1)*G27/SQRT(C27)</f>
        <v/>
      </c>
    </row>
    <row r="28">
      <c r="A28" t="inlineStr">
        <is>
          <t>TOAST Performance (1-7)</t>
        </is>
      </c>
      <c r="B28" t="inlineStr">
        <is>
          <t>Non-expert</t>
        </is>
      </c>
      <c r="C28">
        <f>COUNTIFS(PerParticipant!$B$2:$B$86,"non_expert",PerParticipant!$K$2:$K$86,"&lt;&gt;")</f>
        <v/>
      </c>
      <c r="D28">
        <f>AVERAGEIFS(PerParticipant!$K$2:$K$86,PerParticipant!$B$2:$B$86,"non_expert")</f>
        <v/>
      </c>
      <c r="E28" t="n">
        <v>5.05</v>
      </c>
      <c r="F28">
        <f>ABS(D28-E28)</f>
        <v/>
      </c>
      <c r="G28">
        <f>SQRT(SUMPRODUCT((PerParticipant!$B$2:$B$86="non_expert")*ISNUMBER(PerParticipant!$K$2:$K$86)*(PerParticipant!$K$2:$K$86-AVERAGEIFS(PerParticipant!$K$2:$K$86,PerParticipant!$B$2:$B$86,"non_expert"))^2)/(C28-1))</f>
        <v/>
      </c>
      <c r="H28">
        <f>D28-_xlfn.T.INV.2T(0.05,C28-1)*G28/SQRT(C28)</f>
        <v/>
      </c>
      <c r="I28">
        <f>D28+_xlfn.T.INV.2T(0.05,C28-1)*G28/SQRT(C28)</f>
        <v/>
      </c>
      <c r="J28">
        <f>(D27-D28)/SQRT(((C27-1)*G27^2+(C28-1)*G28^2)/(C27+C28-2))</f>
        <v/>
      </c>
      <c r="K28" t="n">
        <v>0.36</v>
      </c>
      <c r="L28">
        <f>ABS(J28-K28)</f>
        <v/>
      </c>
      <c r="M28" t="inlineStr"/>
      <c r="N28" t="inlineStr"/>
      <c r="O28" t="inlineStr"/>
    </row>
    <row r="29">
      <c r="A29" t="inlineStr">
        <is>
          <t>TOAST Overall (1-7)</t>
        </is>
      </c>
      <c r="B29" t="inlineStr">
        <is>
          <t>Expert</t>
        </is>
      </c>
      <c r="C29">
        <f>COUNTIFS(PerParticipant!$B$2:$B$86,"expert",PerParticipant!$L$2:$L$86,"&lt;&gt;")</f>
        <v/>
      </c>
      <c r="D29">
        <f>AVERAGEIFS(PerParticipant!$L$2:$L$86,PerParticipant!$B$2:$B$86,"expert")</f>
        <v/>
      </c>
      <c r="E29" t="n">
        <v>5.33</v>
      </c>
      <c r="F29">
        <f>ABS(D29-E29)</f>
        <v/>
      </c>
      <c r="G29">
        <f>SQRT(SUMPRODUCT((PerParticipant!$B$2:$B$86="expert")*ISNUMBER(PerParticipant!$L$2:$L$86)*(PerParticipant!$L$2:$L$86-AVERAGEIFS(PerParticipant!$L$2:$L$86,PerParticipant!$B$2:$B$86,"expert"))^2)/(C29-1))</f>
        <v/>
      </c>
      <c r="H29">
        <f>D29-_xlfn.T.INV.2T(0.05,C29-1)*G29/SQRT(C29)</f>
        <v/>
      </c>
      <c r="I29">
        <f>D29+_xlfn.T.INV.2T(0.05,C29-1)*G29/SQRT(C29)</f>
        <v/>
      </c>
    </row>
    <row r="30">
      <c r="A30" t="inlineStr">
        <is>
          <t>TOAST Overall (1-7)</t>
        </is>
      </c>
      <c r="B30" t="inlineStr">
        <is>
          <t>Non-expert</t>
        </is>
      </c>
      <c r="C30">
        <f>COUNTIFS(PerParticipant!$B$2:$B$86,"non_expert",PerParticipant!$L$2:$L$86,"&lt;&gt;")</f>
        <v/>
      </c>
      <c r="D30">
        <f>AVERAGEIFS(PerParticipant!$L$2:$L$86,PerParticipant!$B$2:$B$86,"non_expert")</f>
        <v/>
      </c>
      <c r="E30" t="n">
        <v>4.97</v>
      </c>
      <c r="F30">
        <f>ABS(D30-E30)</f>
        <v/>
      </c>
      <c r="G30">
        <f>SQRT(SUMPRODUCT((PerParticipant!$B$2:$B$86="non_expert")*ISNUMBER(PerParticipant!$L$2:$L$86)*(PerParticipant!$L$2:$L$86-AVERAGEIFS(PerParticipant!$L$2:$L$86,PerParticipant!$B$2:$B$86,"non_expert"))^2)/(C30-1))</f>
        <v/>
      </c>
      <c r="H30">
        <f>D30-_xlfn.T.INV.2T(0.05,C30-1)*G30/SQRT(C30)</f>
        <v/>
      </c>
      <c r="I30">
        <f>D30+_xlfn.T.INV.2T(0.05,C30-1)*G30/SQRT(C30)</f>
        <v/>
      </c>
      <c r="J30">
        <f>(D29-D30)/SQRT(((C29-1)*G29^2+(C30-1)*G30^2)/(C29+C30-2))</f>
        <v/>
      </c>
      <c r="K30" t="n">
        <v>0.47</v>
      </c>
      <c r="L30">
        <f>ABS(J30-K30)</f>
        <v/>
      </c>
      <c r="M30">
        <f>MIN((SUMIFS(PerParticipant!$R$2:$R$86,PerParticipant!$B$2:$B$86,"expert")-C29*(C29+1)/2),(C29*C30-(SUMIFS(PerParticipant!$R$2:$R$86,PerParticipant!$B$2:$B$86,"expert")-C29*(C29+1)/2)))</f>
        <v/>
      </c>
      <c r="N30">
        <f>(MIN((SUMIFS(PerParticipant!$R$2:$R$86,PerParticipant!$B$2:$B$86,"expert")-C29*(C29+1)/2),(C29*C30-(SUMIFS(PerParticipant!$R$2:$R$86,PerParticipant!$B$2:$B$86,"expert")-C29*(C29+1)/2)))-(C29*C30/2))/SQRT(C29*C30*(C29+C30+1)/12)</f>
        <v/>
      </c>
      <c r="O30">
        <f>2*_xlfn.NORM.S.DIST(-ABS(N30),TRUE)</f>
        <v/>
      </c>
    </row>
    <row r="31"/>
    <row r="32">
      <c r="A32" s="3" t="inlineStr">
        <is>
          <t>Behavioural outcomes (Table 5)</t>
        </is>
      </c>
    </row>
    <row r="33">
      <c r="A33" s="2" t="inlineStr">
        <is>
          <t>Group</t>
        </is>
      </c>
      <c r="B33" s="2" t="inlineStr">
        <is>
          <t>Complexity</t>
        </is>
      </c>
      <c r="C33" s="2" t="inlineStr">
        <is>
          <t>N sessions</t>
        </is>
      </c>
      <c r="D33" s="2" t="inlineStr">
        <is>
          <t>Success rate (computed, %)</t>
        </is>
      </c>
      <c r="E33" s="2" t="inlineStr">
        <is>
          <t>Success rate (paper, %)</t>
        </is>
      </c>
      <c r="F33" s="2" t="inlineStr">
        <is>
          <t>|Delta|</t>
        </is>
      </c>
      <c r="G33" s="2" t="inlineStr">
        <is>
          <t>Avg attempts (computed)</t>
        </is>
      </c>
      <c r="H33" s="2" t="inlineStr">
        <is>
          <t>Avg attempts (paper)</t>
        </is>
      </c>
      <c r="I33" s="2" t="inlineStr">
        <is>
          <t>|Delta|</t>
        </is>
      </c>
      <c r="J33" s="2" t="inlineStr">
        <is>
          <t>Avg time s (computed)</t>
        </is>
      </c>
      <c r="K33" s="2" t="inlineStr">
        <is>
          <t>Avg time s (paper)</t>
        </is>
      </c>
      <c r="L33" s="2" t="inlineStr">
        <is>
          <t>|Delta|</t>
        </is>
      </c>
    </row>
    <row r="34">
      <c r="A34" t="inlineStr">
        <is>
          <t>Non-expert</t>
        </is>
      </c>
      <c r="B34" t="inlineStr">
        <is>
          <t>C1</t>
        </is>
      </c>
      <c r="C34">
        <f>COUNTIFS(Sessions!$V$2:$V$511,"non_expert",Sessions!$C$2:$C$511,"C1")</f>
        <v/>
      </c>
      <c r="D34">
        <f>AVERAGEIFS(Sessions!$U$2:$U$511,Sessions!$V$2:$V$511,"non_expert",Sessions!$C$2:$C$511,"C1")*100</f>
        <v/>
      </c>
      <c r="E34" t="n">
        <v>98.90000000000001</v>
      </c>
      <c r="F34">
        <f>ABS(D34-E34)</f>
        <v/>
      </c>
      <c r="G34">
        <f>AVERAGEIFS(Sessions!$I$2:$I$511,Sessions!$V$2:$V$511,"non_expert",Sessions!$C$2:$C$511,"C1")</f>
        <v/>
      </c>
      <c r="H34" t="n">
        <v>1.54</v>
      </c>
      <c r="I34">
        <f>ABS(G34-H34)</f>
        <v/>
      </c>
      <c r="J34">
        <f>AVERAGEIFS(Sessions!$H$2:$H$511,Sessions!$V$2:$V$511,"non_expert",Sessions!$C$2:$C$511,"C1")</f>
        <v/>
      </c>
      <c r="K34" t="n">
        <v>126</v>
      </c>
      <c r="L34">
        <f>ABS(J34-K34)</f>
        <v/>
      </c>
    </row>
    <row r="35">
      <c r="A35" t="inlineStr">
        <is>
          <t>Non-expert</t>
        </is>
      </c>
      <c r="B35" t="inlineStr">
        <is>
          <t>C2</t>
        </is>
      </c>
      <c r="C35">
        <f>COUNTIFS(Sessions!$V$2:$V$511,"non_expert",Sessions!$C$2:$C$511,"C2")</f>
        <v/>
      </c>
      <c r="D35">
        <f>AVERAGEIFS(Sessions!$U$2:$U$511,Sessions!$V$2:$V$511,"non_expert",Sessions!$C$2:$C$511,"C2")*100</f>
        <v/>
      </c>
      <c r="E35" t="n">
        <v>94.40000000000001</v>
      </c>
      <c r="F35">
        <f>ABS(D35-E35)</f>
        <v/>
      </c>
      <c r="G35">
        <f>AVERAGEIFS(Sessions!$I$2:$I$511,Sessions!$V$2:$V$511,"non_expert",Sessions!$C$2:$C$511,"C2")</f>
        <v/>
      </c>
      <c r="H35" t="n">
        <v>1.6</v>
      </c>
      <c r="I35">
        <f>ABS(G35-H35)</f>
        <v/>
      </c>
      <c r="J35">
        <f>AVERAGEIFS(Sessions!$H$2:$H$511,Sessions!$V$2:$V$511,"non_expert",Sessions!$C$2:$C$511,"C2")</f>
        <v/>
      </c>
      <c r="K35" t="n">
        <v>134</v>
      </c>
      <c r="L35">
        <f>ABS(J35-K35)</f>
        <v/>
      </c>
    </row>
    <row r="36">
      <c r="A36" t="inlineStr">
        <is>
          <t>Non-expert</t>
        </is>
      </c>
      <c r="B36" t="inlineStr">
        <is>
          <t>C3</t>
        </is>
      </c>
      <c r="C36">
        <f>COUNTIFS(Sessions!$V$2:$V$511,"non_expert",Sessions!$C$2:$C$511,"C3")</f>
        <v/>
      </c>
      <c r="D36">
        <f>AVERAGEIFS(Sessions!$U$2:$U$511,Sessions!$V$2:$V$511,"non_expert",Sessions!$C$2:$C$511,"C3")*100</f>
        <v/>
      </c>
      <c r="E36" t="n">
        <v>98.90000000000001</v>
      </c>
      <c r="F36">
        <f>ABS(D36-E36)</f>
        <v/>
      </c>
      <c r="G36">
        <f>AVERAGEIFS(Sessions!$I$2:$I$511,Sessions!$V$2:$V$511,"non_expert",Sessions!$C$2:$C$511,"C3")</f>
        <v/>
      </c>
      <c r="H36" t="n">
        <v>1.36</v>
      </c>
      <c r="I36">
        <f>ABS(G36-H36)</f>
        <v/>
      </c>
      <c r="J36">
        <f>AVERAGEIFS(Sessions!$H$2:$H$511,Sessions!$V$2:$V$511,"non_expert",Sessions!$C$2:$C$511,"C3")</f>
        <v/>
      </c>
      <c r="K36" t="n">
        <v>119</v>
      </c>
      <c r="L36">
        <f>ABS(J36-K36)</f>
        <v/>
      </c>
    </row>
    <row r="37">
      <c r="A37" t="inlineStr">
        <is>
          <t>Non-expert</t>
        </is>
      </c>
      <c r="B37" t="inlineStr">
        <is>
          <t>All</t>
        </is>
      </c>
      <c r="C37">
        <f>COUNTIFS(Sessions!$V$2:$V$511,"non_expert")</f>
        <v/>
      </c>
      <c r="D37">
        <f>AVERAGEIFS(Sessions!$U$2:$U$511,Sessions!$V$2:$V$511,"non_expert")*100</f>
        <v/>
      </c>
      <c r="E37" t="n">
        <v>97.40000000000001</v>
      </c>
      <c r="F37">
        <f>ABS(D37-E37)</f>
        <v/>
      </c>
      <c r="G37">
        <f>AVERAGEIFS(Sessions!$I$2:$I$511,Sessions!$V$2:$V$511,"non_expert")</f>
        <v/>
      </c>
      <c r="H37" t="n">
        <v>1.5</v>
      </c>
      <c r="I37">
        <f>ABS(G37-H37)</f>
        <v/>
      </c>
      <c r="J37">
        <f>AVERAGEIFS(Sessions!$H$2:$H$511,Sessions!$V$2:$V$511,"non_expert")</f>
        <v/>
      </c>
      <c r="K37" t="n">
        <v>126</v>
      </c>
      <c r="L37">
        <f>ABS(J37-K37)</f>
        <v/>
      </c>
    </row>
    <row r="38">
      <c r="A38" t="inlineStr">
        <is>
          <t>Expert</t>
        </is>
      </c>
      <c r="B38" t="inlineStr">
        <is>
          <t>C1</t>
        </is>
      </c>
      <c r="C38">
        <f>COUNTIFS(Sessions!$V$2:$V$511,"expert",Sessions!$C$2:$C$511,"C1")</f>
        <v/>
      </c>
      <c r="D38">
        <f>AVERAGEIFS(Sessions!$U$2:$U$511,Sessions!$V$2:$V$511,"expert",Sessions!$C$2:$C$511,"C1")*100</f>
        <v/>
      </c>
      <c r="G38">
        <f>AVERAGEIFS(Sessions!$I$2:$I$511,Sessions!$V$2:$V$511,"expert",Sessions!$C$2:$C$511,"C1")</f>
        <v/>
      </c>
      <c r="J38">
        <f>AVERAGEIFS(Sessions!$H$2:$H$511,Sessions!$V$2:$V$511,"expert",Sessions!$C$2:$C$511,"C1")</f>
        <v/>
      </c>
    </row>
    <row r="39">
      <c r="A39" t="inlineStr">
        <is>
          <t>Expert</t>
        </is>
      </c>
      <c r="B39" t="inlineStr">
        <is>
          <t>C2</t>
        </is>
      </c>
      <c r="C39">
        <f>COUNTIFS(Sessions!$V$2:$V$511,"expert",Sessions!$C$2:$C$511,"C2")</f>
        <v/>
      </c>
      <c r="D39">
        <f>AVERAGEIFS(Sessions!$U$2:$U$511,Sessions!$V$2:$V$511,"expert",Sessions!$C$2:$C$511,"C2")*100</f>
        <v/>
      </c>
      <c r="G39">
        <f>AVERAGEIFS(Sessions!$I$2:$I$511,Sessions!$V$2:$V$511,"expert",Sessions!$C$2:$C$511,"C2")</f>
        <v/>
      </c>
      <c r="J39">
        <f>AVERAGEIFS(Sessions!$H$2:$H$511,Sessions!$V$2:$V$511,"expert",Sessions!$C$2:$C$511,"C2")</f>
        <v/>
      </c>
    </row>
    <row r="40">
      <c r="A40" t="inlineStr">
        <is>
          <t>Expert</t>
        </is>
      </c>
      <c r="B40" t="inlineStr">
        <is>
          <t>C3</t>
        </is>
      </c>
      <c r="C40">
        <f>COUNTIFS(Sessions!$V$2:$V$511,"expert",Sessions!$C$2:$C$511,"C3")</f>
        <v/>
      </c>
      <c r="D40">
        <f>AVERAGEIFS(Sessions!$U$2:$U$511,Sessions!$V$2:$V$511,"expert",Sessions!$C$2:$C$511,"C3")*100</f>
        <v/>
      </c>
      <c r="G40">
        <f>AVERAGEIFS(Sessions!$I$2:$I$511,Sessions!$V$2:$V$511,"expert",Sessions!$C$2:$C$511,"C3")</f>
        <v/>
      </c>
      <c r="J40">
        <f>AVERAGEIFS(Sessions!$H$2:$H$511,Sessions!$V$2:$V$511,"expert",Sessions!$C$2:$C$511,"C3")</f>
        <v/>
      </c>
    </row>
    <row r="41">
      <c r="A41" t="inlineStr">
        <is>
          <t>Expert</t>
        </is>
      </c>
      <c r="B41" t="inlineStr">
        <is>
          <t>All</t>
        </is>
      </c>
      <c r="C41">
        <f>COUNTIFS(Sessions!$V$2:$V$511,"expert")</f>
        <v/>
      </c>
      <c r="D41">
        <f>AVERAGEIFS(Sessions!$U$2:$U$511,Sessions!$V$2:$V$511,"expert")*100</f>
        <v/>
      </c>
      <c r="E41" t="n">
        <v>95.40000000000001</v>
      </c>
      <c r="F41">
        <f>ABS(D41-E41)</f>
        <v/>
      </c>
      <c r="G41">
        <f>AVERAGEIFS(Sessions!$I$2:$I$511,Sessions!$V$2:$V$511,"expert")</f>
        <v/>
      </c>
      <c r="H41" t="n">
        <v>1.44</v>
      </c>
      <c r="I41">
        <f>ABS(G41-H41)</f>
        <v/>
      </c>
      <c r="J41">
        <f>AVERAGEIFS(Sessions!$H$2:$H$511,Sessions!$V$2:$V$511,"expert")</f>
        <v/>
      </c>
      <c r="K41" t="n">
        <v>302</v>
      </c>
      <c r="L41">
        <f>ABS(J41-K41)</f>
        <v/>
      </c>
    </row>
    <row r="42"/>
    <row r="43">
      <c r="A43" s="3" t="inlineStr">
        <is>
          <t>Cross-instrument correlations (Spearman rho on per-participant ranks)</t>
        </is>
      </c>
    </row>
    <row r="44">
      <c r="A44" s="2" t="inlineStr">
        <is>
          <t>Pair</t>
        </is>
      </c>
      <c r="B44" s="2" t="inlineStr">
        <is>
          <t>Spearman rho (computed)</t>
        </is>
      </c>
      <c r="C44" s="2" t="inlineStr">
        <is>
          <t>Spearman rho (paper)</t>
        </is>
      </c>
      <c r="D44" s="2" t="inlineStr">
        <is>
          <t>|Delta|</t>
        </is>
      </c>
      <c r="E44" s="2" t="inlineStr">
        <is>
          <t>n</t>
        </is>
      </c>
    </row>
    <row r="45">
      <c r="A45" t="inlineStr">
        <is>
          <t>SUS vs TLX</t>
        </is>
      </c>
      <c r="B45">
        <f>CORREL(PerParticipant!$P$2:$P$86,PerParticipant!$Q$2:$Q$86)</f>
        <v/>
      </c>
      <c r="C45" t="n">
        <v>-0.444</v>
      </c>
      <c r="D45">
        <f>ABS(B45-C45)</f>
        <v/>
      </c>
      <c r="E45" t="n">
        <v>85</v>
      </c>
    </row>
    <row r="46">
      <c r="A46" t="inlineStr">
        <is>
          <t>SUS vs TOAST</t>
        </is>
      </c>
      <c r="B46">
        <f>CORREL(PerParticipant!$P$2:$P$86,PerParticipant!$R$2:$R$86)</f>
        <v/>
      </c>
      <c r="C46" t="n">
        <v>0.434</v>
      </c>
      <c r="D46">
        <f>ABS(B46-C46)</f>
        <v/>
      </c>
      <c r="E46" t="n">
        <v>85</v>
      </c>
    </row>
    <row r="47">
      <c r="A47" t="inlineStr">
        <is>
          <t>TLX vs TOAST</t>
        </is>
      </c>
      <c r="B47">
        <f>CORREL(PerParticipant!$Q$2:$Q$86,PerParticipant!$R$2:$R$86)</f>
        <v/>
      </c>
      <c r="C47" t="n">
        <v>-0.021</v>
      </c>
      <c r="D47">
        <f>ABS(B47-C47)</f>
        <v/>
      </c>
      <c r="E47" t="n">
        <v>85</v>
      </c>
    </row>
    <row r="48">
      <c r="A48" t="inlineStr">
        <is>
          <t>Time vs SUS</t>
        </is>
      </c>
      <c r="B48">
        <f>CORREL(PerParticipant!$S$2:$S$86,PerParticipant!$P$2:$P$86)</f>
        <v/>
      </c>
      <c r="C48" t="n">
        <v>0.308</v>
      </c>
      <c r="D48">
        <f>ABS(B48-C48)</f>
        <v/>
      </c>
      <c r="E48" t="n">
        <v>85</v>
      </c>
    </row>
  </sheetData>
  <mergeCells count="4">
    <mergeCell ref="A32:L32"/>
    <mergeCell ref="A9:O9"/>
    <mergeCell ref="A43:E43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3" t="inlineStr">
        <is>
          <t>Cohen's kappa (evaluator_1 vs evaluator_2)</t>
        </is>
      </c>
    </row>
    <row r="2"/>
    <row r="3">
      <c r="A3" s="1" t="inlineStr">
        <is>
          <t>Contingency table (rows = evaluator_1, cols = evaluator_2)</t>
        </is>
      </c>
    </row>
    <row r="4">
      <c r="A4" s="2" t="inlineStr"/>
      <c r="B4" s="2" t="inlineStr">
        <is>
          <t>correct</t>
        </is>
      </c>
      <c r="C4" s="2" t="inlineStr">
        <is>
          <t>incorrect</t>
        </is>
      </c>
      <c r="D4" s="2" t="inlineStr">
        <is>
          <t>row total</t>
        </is>
      </c>
    </row>
    <row r="5">
      <c r="A5" s="1" t="inlineStr">
        <is>
          <t>correct</t>
        </is>
      </c>
      <c r="B5">
        <f>SUMPRODUCT((Sessions!$Q$2:$Q$511="correct")*(Sessions!$R$2:$R$511="correct"))</f>
        <v/>
      </c>
      <c r="C5">
        <f>SUMPRODUCT((Sessions!$Q$2:$Q$511="correct")*(Sessions!$R$2:$R$511="incorrect"))</f>
        <v/>
      </c>
      <c r="D5">
        <f>SUM(B5:C5)</f>
        <v/>
      </c>
    </row>
    <row r="6">
      <c r="A6" s="1" t="inlineStr">
        <is>
          <t>incorrect</t>
        </is>
      </c>
      <c r="B6">
        <f>SUMPRODUCT((Sessions!$Q$2:$Q$511="incorrect")*(Sessions!$R$2:$R$511="correct"))</f>
        <v/>
      </c>
      <c r="C6">
        <f>SUMPRODUCT((Sessions!$Q$2:$Q$511="incorrect")*(Sessions!$R$2:$R$511="incorrect"))</f>
        <v/>
      </c>
      <c r="D6">
        <f>SUM(B6:C6)</f>
        <v/>
      </c>
    </row>
    <row r="7">
      <c r="A7" s="1" t="inlineStr">
        <is>
          <t>col total</t>
        </is>
      </c>
      <c r="B7">
        <f>SUM(B5:B6)</f>
        <v/>
      </c>
      <c r="C7">
        <f>SUM(C5:C6)</f>
        <v/>
      </c>
      <c r="D7">
        <f>SUM(B7:C7)</f>
        <v/>
      </c>
    </row>
    <row r="8"/>
    <row r="9">
      <c r="A9" s="1" t="inlineStr">
        <is>
          <t>Statistic</t>
        </is>
      </c>
      <c r="B9" s="1" t="inlineStr">
        <is>
          <t>Value</t>
        </is>
      </c>
    </row>
    <row r="10">
      <c r="A10" t="inlineStr">
        <is>
          <t>N</t>
        </is>
      </c>
      <c r="B10">
        <f>D7</f>
        <v/>
      </c>
    </row>
    <row r="11">
      <c r="A11" t="inlineStr">
        <is>
          <t>observed agreement p_o</t>
        </is>
      </c>
      <c r="B11">
        <f>(B5+C6)/D7</f>
        <v/>
      </c>
    </row>
    <row r="12">
      <c r="A12" t="inlineStr">
        <is>
          <t>expected agreement p_e</t>
        </is>
      </c>
      <c r="B12">
        <f>(D5*B7 + D6*C7)/(D7*D7)</f>
        <v/>
      </c>
    </row>
    <row r="13">
      <c r="A13" t="inlineStr">
        <is>
          <t>Cohen's kappa</t>
        </is>
      </c>
      <c r="B13" s="1">
        <f>(B11-B12)/(1-B12)</f>
        <v/>
      </c>
    </row>
    <row r="14"/>
    <row r="15">
      <c r="A15" s="1" t="inlineStr">
        <is>
          <t>Landis &amp; Koch (1977) interpretation:</t>
        </is>
      </c>
    </row>
    <row r="16">
      <c r="A16" t="inlineStr">
        <is>
          <t xml:space="preserve">  &lt; 0.00  poor</t>
        </is>
      </c>
    </row>
    <row r="17">
      <c r="A17" t="inlineStr">
        <is>
          <t xml:space="preserve">  0.00 - 0.20  slight</t>
        </is>
      </c>
    </row>
    <row r="18">
      <c r="A18" t="inlineStr">
        <is>
          <t xml:space="preserve">  0.21 - 0.40  fair</t>
        </is>
      </c>
    </row>
    <row r="19">
      <c r="A19" t="inlineStr">
        <is>
          <t xml:space="preserve">  0.41 - 0.60  moderate</t>
        </is>
      </c>
    </row>
    <row r="20">
      <c r="A20" t="inlineStr">
        <is>
          <t xml:space="preserve">  0.61 - 0.80  substantial</t>
        </is>
      </c>
    </row>
    <row r="21">
      <c r="A21" t="inlineStr">
        <is>
          <t xml:space="preserve">  0.81 - 1.00  almost perfect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2026-05-29T00:08:27Z</dcterms:created>
  <dcterms:modified xmlns:dcterms="http://purl.org/dc/terms/" xmlns:xsi="http://www.w3.org/2001/XMLSchema-instance" xsi:type="dcterms:W3CDTF">2026-05-29T00:08:27Z</dcterms:modified>
</cp:coreProperties>
</file>